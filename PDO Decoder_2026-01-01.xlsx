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DATEN\Alexander\Projekte\_Projektordner\MiniESP32\Documentation\"/>
    </mc:Choice>
  </mc:AlternateContent>
  <xr:revisionPtr revIDLastSave="0" documentId="13_ncr:1_{CEAC1859-5EB9-4A4B-A5FF-62C960EF93E0}" xr6:coauthVersionLast="45" xr6:coauthVersionMax="45" xr10:uidLastSave="{00000000-0000-0000-0000-000000000000}"/>
  <bookViews>
    <workbookView xWindow="57480" yWindow="-3810" windowWidth="18240" windowHeight="29040" xr2:uid="{94A08C72-09EF-4CEB-9725-3181F544AB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8" i="1" l="1"/>
  <c r="AG39" i="1" s="1"/>
  <c r="U38" i="1"/>
  <c r="AA39" i="1" s="1"/>
  <c r="M38" i="1"/>
  <c r="O39" i="1" s="1"/>
  <c r="E38" i="1"/>
  <c r="AC50" i="1"/>
  <c r="AE51" i="1" s="1"/>
  <c r="U50" i="1"/>
  <c r="AA51" i="1" s="1"/>
  <c r="M50" i="1"/>
  <c r="T51" i="1" s="1"/>
  <c r="M26" i="1"/>
  <c r="Q27" i="1" s="1"/>
  <c r="E50" i="1"/>
  <c r="L51" i="1" s="1"/>
  <c r="AC26" i="1"/>
  <c r="AE27" i="1" s="1"/>
  <c r="U26" i="1"/>
  <c r="W27" i="1" s="1"/>
  <c r="E26" i="1"/>
  <c r="K27" i="1" s="1"/>
  <c r="AC14" i="1"/>
  <c r="AG15" i="1" s="1"/>
  <c r="U14" i="1"/>
  <c r="AA15" i="1" s="1"/>
  <c r="M14" i="1"/>
  <c r="T15" i="1" s="1"/>
  <c r="E14" i="1"/>
  <c r="G15" i="1" s="1"/>
  <c r="G17" i="1" s="1"/>
  <c r="P39" i="1" l="1"/>
  <c r="Q39" i="1"/>
  <c r="W39" i="1"/>
  <c r="X39" i="1"/>
  <c r="M39" i="1"/>
  <c r="Y39" i="1"/>
  <c r="V39" i="1"/>
  <c r="R39" i="1"/>
  <c r="Z39" i="1"/>
  <c r="S39" i="1"/>
  <c r="AB39" i="1"/>
  <c r="AH39" i="1"/>
  <c r="AC39" i="1"/>
  <c r="AI39" i="1"/>
  <c r="AD39" i="1"/>
  <c r="AJ39" i="1"/>
  <c r="AE39" i="1"/>
  <c r="N39" i="1"/>
  <c r="T39" i="1"/>
  <c r="AF39" i="1"/>
  <c r="U39" i="1"/>
  <c r="Y51" i="1"/>
  <c r="Z51" i="1"/>
  <c r="U51" i="1"/>
  <c r="AB51" i="1"/>
  <c r="V51" i="1"/>
  <c r="W51" i="1"/>
  <c r="X51" i="1"/>
  <c r="W15" i="1"/>
  <c r="AH15" i="1"/>
  <c r="X15" i="1"/>
  <c r="Y15" i="1"/>
  <c r="P15" i="1"/>
  <c r="Z15" i="1"/>
  <c r="U15" i="1"/>
  <c r="AB15" i="1"/>
  <c r="V15" i="1"/>
  <c r="N27" i="1"/>
  <c r="O15" i="1"/>
  <c r="R27" i="1"/>
  <c r="X27" i="1"/>
  <c r="Y27" i="1"/>
  <c r="H15" i="1"/>
  <c r="H17" i="1" s="1"/>
  <c r="E27" i="1"/>
  <c r="AF51" i="1"/>
  <c r="AG51" i="1"/>
  <c r="AH51" i="1"/>
  <c r="AC51" i="1"/>
  <c r="AI51" i="1"/>
  <c r="AD51" i="1"/>
  <c r="AJ51" i="1"/>
  <c r="P51" i="1"/>
  <c r="R51" i="1"/>
  <c r="S51" i="1"/>
  <c r="O51" i="1"/>
  <c r="Q51" i="1"/>
  <c r="M51" i="1"/>
  <c r="N51" i="1"/>
  <c r="I51" i="1"/>
  <c r="G51" i="1"/>
  <c r="H51" i="1"/>
  <c r="J51" i="1"/>
  <c r="K51" i="1"/>
  <c r="E51" i="1"/>
  <c r="F51" i="1"/>
  <c r="K15" i="1"/>
  <c r="K17" i="1" s="1"/>
  <c r="I15" i="1"/>
  <c r="I17" i="1" s="1"/>
  <c r="J15" i="1"/>
  <c r="J17" i="1" s="1"/>
  <c r="E15" i="1"/>
  <c r="L15" i="1"/>
  <c r="L17" i="1" s="1"/>
  <c r="H27" i="1"/>
  <c r="F15" i="1"/>
  <c r="G27" i="1"/>
  <c r="AF27" i="1"/>
  <c r="AI15" i="1"/>
  <c r="AG27" i="1"/>
  <c r="AC15" i="1"/>
  <c r="AD15" i="1"/>
  <c r="AJ15" i="1"/>
  <c r="AH27" i="1"/>
  <c r="AE15" i="1"/>
  <c r="AC27" i="1"/>
  <c r="AF15" i="1"/>
  <c r="AD27" i="1"/>
  <c r="AJ27" i="1"/>
  <c r="AI27" i="1"/>
  <c r="Z27" i="1"/>
  <c r="U27" i="1"/>
  <c r="AA27" i="1"/>
  <c r="V27" i="1"/>
  <c r="AB27" i="1"/>
  <c r="M27" i="1"/>
  <c r="S27" i="1"/>
  <c r="T27" i="1"/>
  <c r="F27" i="1"/>
  <c r="L27" i="1"/>
  <c r="I27" i="1"/>
  <c r="J27" i="1"/>
  <c r="O27" i="1"/>
  <c r="P27" i="1"/>
  <c r="Q15" i="1"/>
  <c r="R15" i="1"/>
  <c r="M15" i="1"/>
  <c r="M17" i="1" s="1"/>
  <c r="S15" i="1"/>
  <c r="N15" i="1"/>
  <c r="N17" i="1" s="1"/>
  <c r="Q40" i="1" l="1"/>
  <c r="Q41" i="1" s="1"/>
  <c r="AA40" i="1"/>
  <c r="AA41" i="1" s="1"/>
  <c r="U52" i="1"/>
  <c r="U53" i="1" s="1"/>
  <c r="O17" i="1"/>
  <c r="AD52" i="1"/>
  <c r="AD53" i="1" s="1"/>
  <c r="AA28" i="1"/>
  <c r="AA29" i="1" s="1"/>
  <c r="L52" i="1"/>
  <c r="L53" i="1" s="1"/>
  <c r="AA16" i="1"/>
  <c r="AA17" i="1" s="1"/>
  <c r="G52" i="1"/>
  <c r="G53" i="1" s="1"/>
  <c r="Q28" i="1"/>
  <c r="Q29" i="1" s="1"/>
  <c r="Q16" i="1"/>
  <c r="Q17" i="1" s="1"/>
  <c r="E52" i="1"/>
  <c r="E53" i="1" s="1"/>
  <c r="G28" i="1"/>
  <c r="G29" i="1" s="1"/>
  <c r="E16" i="1"/>
  <c r="E28" i="1"/>
  <c r="E29" i="1" s="1"/>
  <c r="E17" i="1" l="1"/>
  <c r="I39" i="1" l="1"/>
  <c r="K39" i="1"/>
  <c r="E39" i="1"/>
  <c r="J39" i="1"/>
  <c r="F39" i="1"/>
  <c r="L39" i="1"/>
  <c r="G39" i="1"/>
  <c r="H39" i="1"/>
  <c r="E40" i="1" l="1"/>
  <c r="E41" i="1" s="1"/>
  <c r="G40" i="1"/>
  <c r="G41" i="1" s="1"/>
</calcChain>
</file>

<file path=xl/sharedStrings.xml><?xml version="1.0" encoding="utf-8"?>
<sst xmlns="http://schemas.openxmlformats.org/spreadsheetml/2006/main" count="77" uniqueCount="41">
  <si>
    <t>Bit #</t>
  </si>
  <si>
    <t>Supply Type</t>
  </si>
  <si>
    <t>Dual Role Power</t>
  </si>
  <si>
    <t>Dual-Role Data</t>
  </si>
  <si>
    <t>Unchunked Extended Message Support</t>
  </si>
  <si>
    <t>EPR Capable</t>
  </si>
  <si>
    <t>Peak Current</t>
  </si>
  <si>
    <t>Reserved</t>
  </si>
  <si>
    <t>Maximum Voltage in 50mV</t>
  </si>
  <si>
    <t>Maximum Current in 10mA Units</t>
  </si>
  <si>
    <t>USB Suspend Supported</t>
  </si>
  <si>
    <t>Externally Powered</t>
  </si>
  <si>
    <t>USB Communications Capable</t>
  </si>
  <si>
    <t>byte 0</t>
  </si>
  <si>
    <t>byte 1</t>
  </si>
  <si>
    <t>byte 2</t>
  </si>
  <si>
    <t>byte 3</t>
  </si>
  <si>
    <t>Byte</t>
  </si>
  <si>
    <t>Hex</t>
  </si>
  <si>
    <t>Binary</t>
  </si>
  <si>
    <t>2c</t>
  </si>
  <si>
    <t>Fixed-Supply PDO (Supply-Type "fixed")</t>
  </si>
  <si>
    <t>Input Here --&gt;</t>
  </si>
  <si>
    <t>Byte 3</t>
  </si>
  <si>
    <t>Byte 2</t>
  </si>
  <si>
    <t>Byte 1</t>
  </si>
  <si>
    <t>Byte 0</t>
  </si>
  <si>
    <t>Minimum Voltage in 50mV</t>
  </si>
  <si>
    <t>Variable-Supply PDO (Supply-Type "augmented")</t>
  </si>
  <si>
    <t>APDO Type</t>
  </si>
  <si>
    <t>Maximum Voltage in 100mV</t>
  </si>
  <si>
    <t>Minimum Voltage in 100mV</t>
  </si>
  <si>
    <t>Infos from:</t>
  </si>
  <si>
    <t xml:space="preserve"> TI Application Sheet SLVA842: https://www.ti.com/lit/an/slva842/slva842.pdf</t>
  </si>
  <si>
    <t>DIODES User Guide: https://www.diodes.com/assets/Evaluation-Boards/AP33772-Sink-Controller-EVB-User-Guide.pdf</t>
  </si>
  <si>
    <t>Variable-Supply PDO (Supply-Type "battery"")</t>
  </si>
  <si>
    <t>Variable-Supply PDO (Supply-Type "variable")</t>
  </si>
  <si>
    <t>Maximum Current
in 50mA</t>
  </si>
  <si>
    <t>Maximum Current
in 10mA</t>
  </si>
  <si>
    <t>Maximum Power in
250mW Units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</si>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</sst>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\V"/>
    <numFmt numFmtId="167" formatCode="#,##0.00\A"/>
    <numFmt numFmtId="172" formatCode="#,##0.00\W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/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</cellStyleXfs>
  <cellXfs count="134">
    <xf numFmtId="0" fontId="0" fillId="0" borderId="0" xfId="0"/>
    <xf numFmtId="0" fontId="0" fillId="4" borderId="3" xfId="3" applyFont="1" applyBorder="1" applyAlignment="1">
      <alignment horizontal="center" textRotation="90"/>
    </xf>
    <xf numFmtId="0" fontId="0" fillId="4" borderId="3" xfId="3" applyFont="1" applyBorder="1" applyAlignment="1">
      <alignment textRotation="90"/>
    </xf>
    <xf numFmtId="0" fontId="5" fillId="0" borderId="4" xfId="0" applyFont="1" applyBorder="1" applyAlignment="1">
      <alignment horizontal="center"/>
    </xf>
    <xf numFmtId="0" fontId="5" fillId="0" borderId="0" xfId="0" applyFont="1"/>
    <xf numFmtId="0" fontId="0" fillId="4" borderId="8" xfId="3" applyFont="1" applyBorder="1"/>
    <xf numFmtId="0" fontId="0" fillId="0" borderId="10" xfId="0" applyBorder="1" applyAlignment="1">
      <alignment textRotation="90"/>
    </xf>
    <xf numFmtId="0" fontId="0" fillId="4" borderId="11" xfId="3" applyFont="1" applyBorder="1"/>
    <xf numFmtId="0" fontId="0" fillId="4" borderId="12" xfId="3" applyFont="1" applyBorder="1"/>
    <xf numFmtId="0" fontId="5" fillId="0" borderId="9" xfId="0" applyFont="1" applyBorder="1"/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7" borderId="6" xfId="3" applyFont="1" applyFill="1" applyBorder="1" applyAlignment="1">
      <alignment horizontal="center"/>
    </xf>
    <xf numFmtId="0" fontId="0" fillId="7" borderId="20" xfId="3" applyFont="1" applyFill="1" applyBorder="1" applyAlignment="1">
      <alignment horizontal="center"/>
    </xf>
    <xf numFmtId="0" fontId="0" fillId="7" borderId="7" xfId="3" applyFont="1" applyFill="1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0" fillId="0" borderId="24" xfId="0" applyBorder="1"/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0" fillId="0" borderId="22" xfId="0" applyBorder="1"/>
    <xf numFmtId="0" fontId="6" fillId="0" borderId="27" xfId="0" applyFont="1" applyBorder="1" applyAlignment="1">
      <alignment horizontal="center" vertical="center"/>
    </xf>
    <xf numFmtId="0" fontId="0" fillId="4" borderId="28" xfId="3" applyFont="1" applyBorder="1" applyAlignment="1">
      <alignment horizontal="center" textRotation="90"/>
    </xf>
    <xf numFmtId="0" fontId="4" fillId="4" borderId="29" xfId="3" applyFont="1" applyBorder="1"/>
    <xf numFmtId="0" fontId="3" fillId="4" borderId="29" xfId="3" applyFont="1" applyBorder="1"/>
    <xf numFmtId="0" fontId="5" fillId="0" borderId="22" xfId="0" applyFont="1" applyBorder="1"/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0" fillId="8" borderId="11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3" fillId="3" borderId="32" xfId="2" applyBorder="1" applyAlignment="1">
      <alignment horizontal="center"/>
    </xf>
    <xf numFmtId="0" fontId="3" fillId="3" borderId="33" xfId="2" applyBorder="1" applyAlignment="1">
      <alignment horizontal="center"/>
    </xf>
    <xf numFmtId="0" fontId="5" fillId="9" borderId="15" xfId="5" applyFill="1" applyBorder="1" applyAlignment="1">
      <alignment horizontal="center" textRotation="90"/>
    </xf>
    <xf numFmtId="0" fontId="5" fillId="9" borderId="16" xfId="5" applyFill="1" applyBorder="1" applyAlignment="1">
      <alignment horizontal="center" textRotation="90"/>
    </xf>
    <xf numFmtId="0" fontId="5" fillId="0" borderId="13" xfId="0" applyFont="1" applyBorder="1" applyAlignment="1">
      <alignment horizontal="center"/>
    </xf>
    <xf numFmtId="0" fontId="0" fillId="4" borderId="34" xfId="3" applyFont="1" applyBorder="1" applyAlignment="1">
      <alignment horizontal="center" textRotation="90"/>
    </xf>
    <xf numFmtId="0" fontId="0" fillId="4" borderId="35" xfId="3" applyFont="1" applyBorder="1" applyAlignment="1">
      <alignment horizontal="center" textRotation="90"/>
    </xf>
    <xf numFmtId="0" fontId="5" fillId="9" borderId="15" xfId="1" applyFont="1" applyFill="1" applyBorder="1" applyAlignment="1">
      <alignment horizontal="center" textRotation="90"/>
    </xf>
    <xf numFmtId="0" fontId="5" fillId="9" borderId="16" xfId="1" applyFont="1" applyFill="1" applyBorder="1" applyAlignment="1">
      <alignment horizontal="center" textRotation="90"/>
    </xf>
    <xf numFmtId="166" fontId="0" fillId="0" borderId="15" xfId="0" applyNumberFormat="1" applyBorder="1" applyAlignment="1">
      <alignment horizontal="center" vertical="center" textRotation="90"/>
    </xf>
    <xf numFmtId="166" fontId="0" fillId="0" borderId="30" xfId="0" applyNumberFormat="1" applyBorder="1" applyAlignment="1">
      <alignment horizontal="center" vertical="center" textRotation="90"/>
    </xf>
    <xf numFmtId="0" fontId="0" fillId="7" borderId="21" xfId="3" applyFont="1" applyFill="1" applyBorder="1" applyAlignment="1">
      <alignment horizontal="center"/>
    </xf>
    <xf numFmtId="0" fontId="0" fillId="7" borderId="37" xfId="3" applyFont="1" applyFill="1" applyBorder="1" applyAlignment="1">
      <alignment horizontal="center"/>
    </xf>
    <xf numFmtId="0" fontId="0" fillId="7" borderId="38" xfId="3" applyFont="1" applyFill="1" applyBorder="1" applyAlignment="1">
      <alignment horizontal="center"/>
    </xf>
    <xf numFmtId="0" fontId="0" fillId="4" borderId="39" xfId="3" applyFont="1" applyBorder="1"/>
    <xf numFmtId="0" fontId="0" fillId="4" borderId="40" xfId="3" applyFont="1" applyBorder="1"/>
    <xf numFmtId="0" fontId="0" fillId="4" borderId="41" xfId="3" applyFont="1" applyBorder="1"/>
    <xf numFmtId="0" fontId="0" fillId="4" borderId="42" xfId="3" applyFont="1" applyBorder="1"/>
    <xf numFmtId="0" fontId="0" fillId="4" borderId="43" xfId="3" applyFont="1" applyBorder="1"/>
    <xf numFmtId="0" fontId="0" fillId="7" borderId="44" xfId="3" applyFont="1" applyFill="1" applyBorder="1" applyAlignment="1">
      <alignment horizontal="center"/>
    </xf>
    <xf numFmtId="0" fontId="0" fillId="7" borderId="45" xfId="3" applyFont="1" applyFill="1" applyBorder="1" applyAlignment="1">
      <alignment horizontal="center"/>
    </xf>
    <xf numFmtId="0" fontId="0" fillId="7" borderId="4" xfId="3" applyFont="1" applyFill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3" fillId="7" borderId="42" xfId="2" applyFill="1" applyBorder="1"/>
    <xf numFmtId="0" fontId="3" fillId="7" borderId="40" xfId="2" applyFill="1" applyBorder="1"/>
    <xf numFmtId="0" fontId="0" fillId="7" borderId="47" xfId="3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7" borderId="43" xfId="2" applyFill="1" applyBorder="1"/>
    <xf numFmtId="0" fontId="3" fillId="7" borderId="11" xfId="2" applyFill="1" applyBorder="1"/>
    <xf numFmtId="0" fontId="3" fillId="7" borderId="31" xfId="2" applyFill="1" applyBorder="1"/>
    <xf numFmtId="0" fontId="3" fillId="7" borderId="12" xfId="2" applyFill="1" applyBorder="1"/>
    <xf numFmtId="0" fontId="5" fillId="0" borderId="49" xfId="0" applyFont="1" applyBorder="1" applyAlignment="1">
      <alignment horizontal="center"/>
    </xf>
    <xf numFmtId="0" fontId="0" fillId="7" borderId="14" xfId="3" applyFont="1" applyFill="1" applyBorder="1" applyAlignment="1">
      <alignment horizontal="center"/>
    </xf>
    <xf numFmtId="0" fontId="0" fillId="0" borderId="16" xfId="0" applyBorder="1" applyAlignment="1">
      <alignment textRotation="90"/>
    </xf>
    <xf numFmtId="0" fontId="3" fillId="7" borderId="8" xfId="2" applyFill="1" applyBorder="1"/>
    <xf numFmtId="0" fontId="0" fillId="0" borderId="15" xfId="0" applyBorder="1" applyAlignment="1">
      <alignment textRotation="90"/>
    </xf>
    <xf numFmtId="0" fontId="5" fillId="0" borderId="49" xfId="0" applyFont="1" applyBorder="1"/>
    <xf numFmtId="0" fontId="0" fillId="0" borderId="16" xfId="0" applyBorder="1" applyAlignment="1">
      <alignment horizontal="center" vertical="center"/>
    </xf>
    <xf numFmtId="0" fontId="5" fillId="0" borderId="46" xfId="0" applyFont="1" applyBorder="1"/>
    <xf numFmtId="0" fontId="3" fillId="7" borderId="5" xfId="2" applyFill="1" applyBorder="1"/>
    <xf numFmtId="0" fontId="5" fillId="0" borderId="19" xfId="0" applyFont="1" applyBorder="1"/>
    <xf numFmtId="0" fontId="5" fillId="0" borderId="44" xfId="0" applyFont="1" applyBorder="1"/>
    <xf numFmtId="0" fontId="3" fillId="7" borderId="50" xfId="2" applyFill="1" applyBorder="1"/>
    <xf numFmtId="0" fontId="3" fillId="7" borderId="51" xfId="2" applyFill="1" applyBorder="1"/>
    <xf numFmtId="0" fontId="3" fillId="7" borderId="52" xfId="2" applyFill="1" applyBorder="1"/>
    <xf numFmtId="0" fontId="3" fillId="4" borderId="53" xfId="3" applyFont="1" applyBorder="1"/>
    <xf numFmtId="0" fontId="4" fillId="4" borderId="53" xfId="3" applyFont="1" applyBorder="1"/>
    <xf numFmtId="166" fontId="0" fillId="0" borderId="16" xfId="0" applyNumberFormat="1" applyBorder="1" applyAlignment="1">
      <alignment horizontal="center" vertical="center" textRotation="90"/>
    </xf>
    <xf numFmtId="0" fontId="0" fillId="4" borderId="48" xfId="3" applyFont="1" applyBorder="1"/>
    <xf numFmtId="0" fontId="6" fillId="0" borderId="0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0" fillId="4" borderId="60" xfId="3" applyFont="1" applyBorder="1"/>
    <xf numFmtId="0" fontId="0" fillId="4" borderId="61" xfId="3" applyFont="1" applyBorder="1"/>
    <xf numFmtId="0" fontId="3" fillId="7" borderId="39" xfId="2" applyFill="1" applyBorder="1"/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0" fillId="4" borderId="24" xfId="3" applyFont="1" applyBorder="1" applyAlignment="1">
      <alignment textRotation="90"/>
    </xf>
    <xf numFmtId="0" fontId="5" fillId="0" borderId="24" xfId="0" applyFont="1" applyBorder="1" applyAlignment="1"/>
    <xf numFmtId="0" fontId="0" fillId="4" borderId="5" xfId="3" applyFont="1" applyBorder="1" applyAlignment="1">
      <alignment textRotation="90"/>
    </xf>
    <xf numFmtId="0" fontId="0" fillId="4" borderId="62" xfId="3" applyFont="1" applyBorder="1"/>
    <xf numFmtId="0" fontId="0" fillId="4" borderId="55" xfId="3" applyFont="1" applyBorder="1"/>
    <xf numFmtId="0" fontId="5" fillId="0" borderId="63" xfId="0" applyFont="1" applyBorder="1" applyAlignment="1"/>
    <xf numFmtId="0" fontId="3" fillId="7" borderId="55" xfId="2" applyFill="1" applyBorder="1"/>
    <xf numFmtId="0" fontId="0" fillId="4" borderId="10" xfId="3" applyFont="1" applyBorder="1"/>
    <xf numFmtId="0" fontId="5" fillId="0" borderId="57" xfId="0" applyFont="1" applyBorder="1" applyAlignment="1"/>
    <xf numFmtId="0" fontId="5" fillId="0" borderId="58" xfId="0" applyFont="1" applyBorder="1" applyAlignment="1"/>
    <xf numFmtId="0" fontId="5" fillId="0" borderId="59" xfId="0" applyFont="1" applyBorder="1" applyAlignment="1"/>
    <xf numFmtId="167" fontId="0" fillId="0" borderId="10" xfId="0" applyNumberFormat="1" applyBorder="1" applyAlignment="1">
      <alignment vertical="center" textRotation="90"/>
    </xf>
    <xf numFmtId="166" fontId="5" fillId="0" borderId="22" xfId="0" applyNumberFormat="1" applyFont="1" applyBorder="1" applyAlignment="1">
      <alignment horizontal="center" vertical="center"/>
    </xf>
    <xf numFmtId="166" fontId="5" fillId="0" borderId="0" xfId="0" applyNumberFormat="1" applyFont="1" applyBorder="1" applyAlignment="1">
      <alignment horizontal="center" vertical="center"/>
    </xf>
    <xf numFmtId="166" fontId="5" fillId="0" borderId="49" xfId="0" applyNumberFormat="1" applyFont="1" applyBorder="1" applyAlignment="1">
      <alignment horizontal="center" vertical="center"/>
    </xf>
    <xf numFmtId="166" fontId="2" fillId="2" borderId="15" xfId="1" applyNumberFormat="1" applyBorder="1" applyAlignment="1">
      <alignment horizontal="center" vertical="center"/>
    </xf>
    <xf numFmtId="166" fontId="2" fillId="2" borderId="30" xfId="1" applyNumberFormat="1" applyBorder="1" applyAlignment="1">
      <alignment horizontal="center" vertical="center"/>
    </xf>
    <xf numFmtId="166" fontId="2" fillId="2" borderId="16" xfId="1" applyNumberFormat="1" applyBorder="1" applyAlignment="1">
      <alignment horizontal="center" vertical="center"/>
    </xf>
    <xf numFmtId="167" fontId="2" fillId="2" borderId="15" xfId="1" applyNumberFormat="1" applyBorder="1" applyAlignment="1">
      <alignment horizontal="center" vertical="center"/>
    </xf>
    <xf numFmtId="167" fontId="2" fillId="2" borderId="30" xfId="1" applyNumberFormat="1" applyBorder="1" applyAlignment="1">
      <alignment horizontal="center" vertical="center"/>
    </xf>
    <xf numFmtId="167" fontId="2" fillId="2" borderId="16" xfId="1" applyNumberFormat="1" applyBorder="1" applyAlignment="1">
      <alignment horizontal="center" vertical="center"/>
    </xf>
    <xf numFmtId="166" fontId="2" fillId="2" borderId="64" xfId="1" applyNumberFormat="1" applyBorder="1" applyAlignment="1">
      <alignment horizontal="center" vertical="center" textRotation="90"/>
    </xf>
    <xf numFmtId="166" fontId="2" fillId="2" borderId="65" xfId="1" applyNumberFormat="1" applyBorder="1" applyAlignment="1">
      <alignment horizontal="center" vertical="center" textRotation="90"/>
    </xf>
    <xf numFmtId="0" fontId="5" fillId="5" borderId="55" xfId="4" applyBorder="1" applyAlignment="1">
      <alignment horizontal="center" vertical="center"/>
    </xf>
    <xf numFmtId="0" fontId="5" fillId="5" borderId="56" xfId="4" applyBorder="1" applyAlignment="1">
      <alignment horizontal="center" vertical="center"/>
    </xf>
    <xf numFmtId="0" fontId="5" fillId="5" borderId="54" xfId="4" applyBorder="1" applyAlignment="1">
      <alignment horizontal="center" vertical="center"/>
    </xf>
    <xf numFmtId="0" fontId="3" fillId="3" borderId="66" xfId="2" applyBorder="1" applyAlignment="1">
      <alignment horizontal="center"/>
    </xf>
    <xf numFmtId="0" fontId="0" fillId="8" borderId="51" xfId="0" applyFill="1" applyBorder="1" applyAlignment="1">
      <alignment horizontal="center"/>
    </xf>
    <xf numFmtId="0" fontId="0" fillId="8" borderId="52" xfId="0" applyFill="1" applyBorder="1" applyAlignment="1">
      <alignment horizontal="center"/>
    </xf>
    <xf numFmtId="0" fontId="3" fillId="3" borderId="55" xfId="2" applyBorder="1" applyAlignment="1">
      <alignment horizontal="center"/>
    </xf>
    <xf numFmtId="0" fontId="3" fillId="3" borderId="56" xfId="2" applyBorder="1" applyAlignment="1">
      <alignment horizontal="center"/>
    </xf>
    <xf numFmtId="0" fontId="3" fillId="3" borderId="54" xfId="2" applyBorder="1" applyAlignment="1">
      <alignment horizontal="center"/>
    </xf>
    <xf numFmtId="172" fontId="2" fillId="2" borderId="15" xfId="1" applyNumberFormat="1" applyBorder="1" applyAlignment="1">
      <alignment horizontal="center" vertical="center"/>
    </xf>
    <xf numFmtId="172" fontId="2" fillId="2" borderId="30" xfId="1" applyNumberFormat="1" applyBorder="1" applyAlignment="1">
      <alignment horizontal="center" vertical="center"/>
    </xf>
    <xf numFmtId="172" fontId="2" fillId="2" borderId="16" xfId="1" applyNumberFormat="1" applyBorder="1" applyAlignment="1">
      <alignment horizontal="center" vertical="center"/>
    </xf>
    <xf numFmtId="0" fontId="0" fillId="4" borderId="34" xfId="3" applyFont="1" applyBorder="1" applyAlignment="1">
      <alignment horizontal="center"/>
    </xf>
    <xf numFmtId="0" fontId="0" fillId="4" borderId="35" xfId="3" applyFont="1" applyBorder="1" applyAlignment="1">
      <alignment horizontal="center"/>
    </xf>
    <xf numFmtId="0" fontId="0" fillId="4" borderId="36" xfId="3" applyFont="1" applyBorder="1" applyAlignment="1">
      <alignment horizontal="center"/>
    </xf>
    <xf numFmtId="0" fontId="0" fillId="4" borderId="3" xfId="3" applyFont="1" applyBorder="1" applyAlignment="1">
      <alignment horizontal="center"/>
    </xf>
    <xf numFmtId="0" fontId="0" fillId="4" borderId="28" xfId="3" applyFont="1" applyBorder="1" applyAlignment="1">
      <alignment horizontal="center"/>
    </xf>
    <xf numFmtId="0" fontId="0" fillId="4" borderId="3" xfId="3" applyFont="1" applyBorder="1" applyAlignment="1">
      <alignment horizontal="center" wrapText="1"/>
    </xf>
    <xf numFmtId="0" fontId="0" fillId="4" borderId="55" xfId="3" applyFont="1" applyBorder="1" applyAlignment="1">
      <alignment horizontal="center"/>
    </xf>
    <xf numFmtId="0" fontId="0" fillId="4" borderId="56" xfId="3" applyFont="1" applyBorder="1" applyAlignment="1">
      <alignment horizontal="center"/>
    </xf>
    <xf numFmtId="0" fontId="0" fillId="4" borderId="54" xfId="3" applyFont="1" applyBorder="1" applyAlignment="1">
      <alignment horizontal="center"/>
    </xf>
    <xf numFmtId="0" fontId="0" fillId="4" borderId="55" xfId="3" applyFont="1" applyBorder="1" applyAlignment="1">
      <alignment horizontal="center" wrapText="1"/>
    </xf>
  </cellXfs>
  <cellStyles count="6">
    <cellStyle name="Akzent2" xfId="4" builtinId="33"/>
    <cellStyle name="Akzent5" xfId="5" builtinId="45"/>
    <cellStyle name="Eingabe" xfId="2" builtinId="20"/>
    <cellStyle name="Gut" xfId="1" builtinId="26"/>
    <cellStyle name="Notiz" xfId="3" builtinId="10"/>
    <cellStyle name="Standard" xfId="0" builtinId="0"/>
  </cellStyles>
  <dxfs count="6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3FF9-D6B2-4486-AD86-9BD61632A92F}">
  <dimension ref="A1:AJ53"/>
  <sheetViews>
    <sheetView tabSelected="1" zoomScaleNormal="100" workbookViewId="0">
      <selection activeCell="AK6" sqref="AK6"/>
    </sheetView>
  </sheetViews>
  <sheetFormatPr baseColWidth="10" defaultRowHeight="15" x14ac:dyDescent="0.25"/>
  <cols>
    <col min="1" max="3" width="7" customWidth="1"/>
    <col min="5" max="36" width="3.28515625" customWidth="1"/>
    <col min="38" max="53" width="3.5703125" customWidth="1"/>
  </cols>
  <sheetData>
    <row r="1" spans="1:36" x14ac:dyDescent="0.25">
      <c r="E1" t="s">
        <v>32</v>
      </c>
    </row>
    <row r="2" spans="1:36" x14ac:dyDescent="0.25">
      <c r="F2" t="s">
        <v>33</v>
      </c>
    </row>
    <row r="3" spans="1:36" x14ac:dyDescent="0.25">
      <c r="F3" t="s">
        <v>34</v>
      </c>
    </row>
    <row r="4" spans="1:36" ht="15.75" thickBot="1" x14ac:dyDescent="0.3"/>
    <row r="5" spans="1:36" ht="15.75" thickBot="1" x14ac:dyDescent="0.3">
      <c r="E5" s="28" t="s">
        <v>23</v>
      </c>
      <c r="F5" s="29"/>
      <c r="G5" s="29"/>
      <c r="H5" s="29"/>
      <c r="I5" s="29"/>
      <c r="J5" s="29"/>
      <c r="K5" s="29"/>
      <c r="L5" s="29"/>
      <c r="M5" s="29" t="s">
        <v>24</v>
      </c>
      <c r="N5" s="29"/>
      <c r="O5" s="29"/>
      <c r="P5" s="29"/>
      <c r="Q5" s="29"/>
      <c r="R5" s="29"/>
      <c r="S5" s="29"/>
      <c r="T5" s="29"/>
      <c r="U5" s="29" t="s">
        <v>25</v>
      </c>
      <c r="V5" s="29"/>
      <c r="W5" s="29"/>
      <c r="X5" s="29"/>
      <c r="Y5" s="29"/>
      <c r="Z5" s="29"/>
      <c r="AA5" s="29"/>
      <c r="AB5" s="29"/>
      <c r="AC5" s="116" t="s">
        <v>26</v>
      </c>
      <c r="AD5" s="116"/>
      <c r="AE5" s="116"/>
      <c r="AF5" s="116"/>
      <c r="AG5" s="116"/>
      <c r="AH5" s="116"/>
      <c r="AI5" s="116"/>
      <c r="AJ5" s="117"/>
    </row>
    <row r="6" spans="1:36" ht="15.75" thickBot="1" x14ac:dyDescent="0.3">
      <c r="A6" s="112" t="s">
        <v>22</v>
      </c>
      <c r="B6" s="113"/>
      <c r="C6" s="113"/>
      <c r="D6" s="114"/>
      <c r="E6" s="30">
        <v>0</v>
      </c>
      <c r="F6" s="31"/>
      <c r="G6" s="31"/>
      <c r="H6" s="31"/>
      <c r="I6" s="31"/>
      <c r="J6" s="31"/>
      <c r="K6" s="31"/>
      <c r="L6" s="31"/>
      <c r="M6" s="31">
        <v>4</v>
      </c>
      <c r="N6" s="31"/>
      <c r="O6" s="31"/>
      <c r="P6" s="31"/>
      <c r="Q6" s="31"/>
      <c r="R6" s="31"/>
      <c r="S6" s="31"/>
      <c r="T6" s="31"/>
      <c r="U6" s="31" t="s">
        <v>40</v>
      </c>
      <c r="V6" s="31"/>
      <c r="W6" s="31"/>
      <c r="X6" s="31"/>
      <c r="Y6" s="31"/>
      <c r="Z6" s="31"/>
      <c r="AA6" s="31"/>
      <c r="AB6" s="115"/>
      <c r="AC6" s="118" t="s">
        <v>20</v>
      </c>
      <c r="AD6" s="119"/>
      <c r="AE6" s="119"/>
      <c r="AF6" s="119"/>
      <c r="AG6" s="119"/>
      <c r="AH6" s="119"/>
      <c r="AI6" s="119"/>
      <c r="AJ6" s="120"/>
    </row>
    <row r="8" spans="1:36" ht="15.75" thickBot="1" x14ac:dyDescent="0.3"/>
    <row r="9" spans="1:36" x14ac:dyDescent="0.25">
      <c r="D9" s="16"/>
      <c r="E9" s="17" t="s">
        <v>21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8"/>
    </row>
    <row r="10" spans="1:36" x14ac:dyDescent="0.25">
      <c r="D10" s="19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20"/>
    </row>
    <row r="11" spans="1:36" ht="189" customHeight="1" thickBot="1" x14ac:dyDescent="0.3">
      <c r="D11" s="19"/>
      <c r="E11" s="1" t="s">
        <v>1</v>
      </c>
      <c r="F11" s="1"/>
      <c r="G11" s="2" t="s">
        <v>2</v>
      </c>
      <c r="H11" s="2" t="s">
        <v>10</v>
      </c>
      <c r="I11" s="2" t="s">
        <v>11</v>
      </c>
      <c r="J11" s="2" t="s">
        <v>12</v>
      </c>
      <c r="K11" s="2" t="s">
        <v>3</v>
      </c>
      <c r="L11" s="2" t="s">
        <v>4</v>
      </c>
      <c r="M11" s="2" t="s">
        <v>5</v>
      </c>
      <c r="N11" s="2" t="s">
        <v>7</v>
      </c>
      <c r="O11" s="1" t="s">
        <v>6</v>
      </c>
      <c r="P11" s="1"/>
      <c r="Q11" s="1" t="s">
        <v>8</v>
      </c>
      <c r="R11" s="1"/>
      <c r="S11" s="1"/>
      <c r="T11" s="1"/>
      <c r="U11" s="1"/>
      <c r="V11" s="1"/>
      <c r="W11" s="1"/>
      <c r="X11" s="1"/>
      <c r="Y11" s="1"/>
      <c r="Z11" s="1"/>
      <c r="AA11" s="1" t="s">
        <v>9</v>
      </c>
      <c r="AB11" s="1"/>
      <c r="AC11" s="1"/>
      <c r="AD11" s="1"/>
      <c r="AE11" s="1"/>
      <c r="AF11" s="1"/>
      <c r="AG11" s="1"/>
      <c r="AH11" s="1"/>
      <c r="AI11" s="1"/>
      <c r="AJ11" s="21"/>
    </row>
    <row r="12" spans="1:36" ht="15.75" thickBot="1" x14ac:dyDescent="0.3">
      <c r="D12" s="22" t="s">
        <v>0</v>
      </c>
      <c r="E12" s="7">
        <v>31</v>
      </c>
      <c r="F12" s="8">
        <v>30</v>
      </c>
      <c r="G12" s="5">
        <v>29</v>
      </c>
      <c r="H12" s="5">
        <v>28</v>
      </c>
      <c r="I12" s="5">
        <v>27</v>
      </c>
      <c r="J12" s="5">
        <v>26</v>
      </c>
      <c r="K12" s="5">
        <v>25</v>
      </c>
      <c r="L12" s="5">
        <v>24</v>
      </c>
      <c r="M12" s="5">
        <v>23</v>
      </c>
      <c r="N12" s="5">
        <v>22</v>
      </c>
      <c r="O12" s="47">
        <v>21</v>
      </c>
      <c r="P12" s="45">
        <v>20</v>
      </c>
      <c r="Q12" s="47">
        <v>19</v>
      </c>
      <c r="R12" s="48">
        <v>18</v>
      </c>
      <c r="S12" s="48">
        <v>17</v>
      </c>
      <c r="T12" s="48">
        <v>16</v>
      </c>
      <c r="U12" s="48">
        <v>15</v>
      </c>
      <c r="V12" s="48">
        <v>14</v>
      </c>
      <c r="W12" s="48">
        <v>13</v>
      </c>
      <c r="X12" s="48">
        <v>12</v>
      </c>
      <c r="Y12" s="48">
        <v>11</v>
      </c>
      <c r="Z12" s="45">
        <v>10</v>
      </c>
      <c r="AA12" s="47">
        <v>9</v>
      </c>
      <c r="AB12" s="48">
        <v>8</v>
      </c>
      <c r="AC12" s="48">
        <v>7</v>
      </c>
      <c r="AD12" s="48">
        <v>6</v>
      </c>
      <c r="AE12" s="48">
        <v>5</v>
      </c>
      <c r="AF12" s="48">
        <v>4</v>
      </c>
      <c r="AG12" s="48">
        <v>3</v>
      </c>
      <c r="AH12" s="48">
        <v>2</v>
      </c>
      <c r="AI12" s="48">
        <v>1</v>
      </c>
      <c r="AJ12" s="45">
        <v>0</v>
      </c>
    </row>
    <row r="13" spans="1:36" x14ac:dyDescent="0.25">
      <c r="D13" s="22" t="s">
        <v>17</v>
      </c>
      <c r="E13" s="12" t="s">
        <v>16</v>
      </c>
      <c r="F13" s="13"/>
      <c r="G13" s="13"/>
      <c r="H13" s="13"/>
      <c r="I13" s="13"/>
      <c r="J13" s="13"/>
      <c r="K13" s="13"/>
      <c r="L13" s="14"/>
      <c r="M13" s="12" t="s">
        <v>15</v>
      </c>
      <c r="N13" s="13"/>
      <c r="O13" s="41"/>
      <c r="P13" s="41"/>
      <c r="Q13" s="41"/>
      <c r="R13" s="41"/>
      <c r="S13" s="41"/>
      <c r="T13" s="42"/>
      <c r="U13" s="43" t="s">
        <v>14</v>
      </c>
      <c r="V13" s="41"/>
      <c r="W13" s="41"/>
      <c r="X13" s="41"/>
      <c r="Y13" s="41"/>
      <c r="Z13" s="41"/>
      <c r="AA13" s="41"/>
      <c r="AB13" s="42"/>
      <c r="AC13" s="43" t="s">
        <v>13</v>
      </c>
      <c r="AD13" s="41"/>
      <c r="AE13" s="41"/>
      <c r="AF13" s="41"/>
      <c r="AG13" s="41"/>
      <c r="AH13" s="41"/>
      <c r="AI13" s="41"/>
      <c r="AJ13" s="49"/>
    </row>
    <row r="14" spans="1:36" ht="15.75" thickBot="1" x14ac:dyDescent="0.3">
      <c r="D14" s="22" t="s">
        <v>18</v>
      </c>
      <c r="E14" s="50">
        <f>E6</f>
        <v>0</v>
      </c>
      <c r="F14" s="51"/>
      <c r="G14" s="51"/>
      <c r="H14" s="51"/>
      <c r="I14" s="51"/>
      <c r="J14" s="51"/>
      <c r="K14" s="51"/>
      <c r="L14" s="56"/>
      <c r="M14" s="50">
        <f>M6</f>
        <v>4</v>
      </c>
      <c r="N14" s="51"/>
      <c r="O14" s="51"/>
      <c r="P14" s="51"/>
      <c r="Q14" s="51"/>
      <c r="R14" s="51"/>
      <c r="S14" s="51"/>
      <c r="T14" s="56"/>
      <c r="U14" s="50" t="str">
        <f>U6</f>
        <v>b1</v>
      </c>
      <c r="V14" s="51"/>
      <c r="W14" s="51"/>
      <c r="X14" s="51"/>
      <c r="Y14" s="51"/>
      <c r="Z14" s="51"/>
      <c r="AA14" s="51"/>
      <c r="AB14" s="56"/>
      <c r="AC14" s="50" t="str">
        <f>AC6</f>
        <v>2c</v>
      </c>
      <c r="AD14" s="51"/>
      <c r="AE14" s="51"/>
      <c r="AF14" s="51"/>
      <c r="AG14" s="51"/>
      <c r="AH14" s="51"/>
      <c r="AI14" s="51"/>
      <c r="AJ14" s="64"/>
    </row>
    <row r="15" spans="1:36" ht="15.75" thickBot="1" x14ac:dyDescent="0.3">
      <c r="D15" s="23" t="s">
        <v>19</v>
      </c>
      <c r="E15" s="60" t="str">
        <f>MID(HEX2BIN($E$14,8),1,1)</f>
        <v>0</v>
      </c>
      <c r="F15" s="62" t="str">
        <f>MID(HEX2BIN($E$14,8),2,1)</f>
        <v>0</v>
      </c>
      <c r="G15" s="66" t="str">
        <f>MID(HEX2BIN($E$14,8),3,1)</f>
        <v>0</v>
      </c>
      <c r="H15" s="71" t="str">
        <f>MID(HEX2BIN($E$14,8),4,1)</f>
        <v>0</v>
      </c>
      <c r="I15" s="71" t="str">
        <f>MID(HEX2BIN($E$14,8),5,1)</f>
        <v>0</v>
      </c>
      <c r="J15" s="71" t="str">
        <f>MID(HEX2BIN($E$14,8),6,1)</f>
        <v>0</v>
      </c>
      <c r="K15" s="71" t="str">
        <f>MID(HEX2BIN($E$14,8),7,1)</f>
        <v>0</v>
      </c>
      <c r="L15" s="71" t="str">
        <f>MID(HEX2BIN($E$14,8),8,1)</f>
        <v>0</v>
      </c>
      <c r="M15" s="71" t="str">
        <f>MID(HEX2BIN($M$14,8),1,1)</f>
        <v>0</v>
      </c>
      <c r="N15" s="71" t="str">
        <f>MID(HEX2BIN($M$14,8),2,1)</f>
        <v>0</v>
      </c>
      <c r="O15" s="60" t="str">
        <f>MID(HEX2BIN($M$14,8),3,1)</f>
        <v>0</v>
      </c>
      <c r="P15" s="62" t="str">
        <f>MID(HEX2BIN($M$14,8),4,1)</f>
        <v>0</v>
      </c>
      <c r="Q15" s="60" t="str">
        <f>MID(HEX2BIN($M$14,8),5,1)</f>
        <v>0</v>
      </c>
      <c r="R15" s="61" t="str">
        <f>MID(HEX2BIN($M$14,8),6,1)</f>
        <v>1</v>
      </c>
      <c r="S15" s="61" t="str">
        <f>MID(HEX2BIN($M$14,8),7,1)</f>
        <v>0</v>
      </c>
      <c r="T15" s="61" t="str">
        <f>MID(HEX2BIN($M$14,8),8,1)</f>
        <v>0</v>
      </c>
      <c r="U15" s="61" t="str">
        <f>MID(HEX2BIN($U$14,8),1,1)</f>
        <v>1</v>
      </c>
      <c r="V15" s="61" t="str">
        <f>MID(HEX2BIN($U$14,8),2,1)</f>
        <v>0</v>
      </c>
      <c r="W15" s="61" t="str">
        <f>MID(HEX2BIN($U$14,8),3,1)</f>
        <v>1</v>
      </c>
      <c r="X15" s="61" t="str">
        <f>MID(HEX2BIN($U$14,8),4,1)</f>
        <v>1</v>
      </c>
      <c r="Y15" s="61" t="str">
        <f>MID(HEX2BIN($U$14,8),5,1)</f>
        <v>0</v>
      </c>
      <c r="Z15" s="62" t="str">
        <f>MID(HEX2BIN($U$14,8),6,1)</f>
        <v>0</v>
      </c>
      <c r="AA15" s="60" t="str">
        <f>MID(HEX2BIN($U$14,8),7,1)</f>
        <v>0</v>
      </c>
      <c r="AB15" s="61" t="str">
        <f>MID(HEX2BIN($U$14,8),8,1)</f>
        <v>1</v>
      </c>
      <c r="AC15" s="61" t="str">
        <f>MID(HEX2BIN($AC$14,8),1,1)</f>
        <v>0</v>
      </c>
      <c r="AD15" s="61" t="str">
        <f>MID(HEX2BIN($AC$14,8),2,1)</f>
        <v>0</v>
      </c>
      <c r="AE15" s="61" t="str">
        <f>MID(HEX2BIN($AC$14,8),3,1)</f>
        <v>1</v>
      </c>
      <c r="AF15" s="61" t="str">
        <f>MID(HEX2BIN($AC$14,8),4,1)</f>
        <v>0</v>
      </c>
      <c r="AG15" s="61" t="str">
        <f>MID(HEX2BIN($AC$14,8),5,1)</f>
        <v>1</v>
      </c>
      <c r="AH15" s="61" t="str">
        <f>MID(HEX2BIN($AC$14,8),6,1)</f>
        <v>1</v>
      </c>
      <c r="AI15" s="61" t="str">
        <f>MID(HEX2BIN($AC$14,8),7,1)</f>
        <v>0</v>
      </c>
      <c r="AJ15" s="62" t="str">
        <f>MID(HEX2BIN($AC$14,8),8,1)</f>
        <v>0</v>
      </c>
    </row>
    <row r="16" spans="1:36" s="4" customFormat="1" ht="3" customHeight="1" x14ac:dyDescent="0.25">
      <c r="D16" s="24"/>
      <c r="E16" s="10">
        <f>BIN2DEC(E15&amp;F15)</f>
        <v>0</v>
      </c>
      <c r="F16" s="11"/>
      <c r="G16" s="9"/>
      <c r="H16" s="73"/>
      <c r="I16" s="72"/>
      <c r="J16" s="72"/>
      <c r="K16" s="72"/>
      <c r="L16" s="72"/>
      <c r="M16" s="72"/>
      <c r="N16" s="70"/>
      <c r="O16" s="24"/>
      <c r="P16" s="68"/>
      <c r="Q16" s="34" t="str">
        <f>Q15&amp;R15&amp;S15&amp;T15&amp;U15&amp;V15&amp;W15&amp;X15&amp;Y15&amp;Z15</f>
        <v>0100101100</v>
      </c>
      <c r="R16" s="3"/>
      <c r="S16" s="3"/>
      <c r="T16" s="3"/>
      <c r="U16" s="3"/>
      <c r="V16" s="3"/>
      <c r="W16" s="3"/>
      <c r="X16" s="3"/>
      <c r="Y16" s="3"/>
      <c r="Z16" s="25"/>
      <c r="AA16" s="34" t="str">
        <f>AA15&amp;AB15&amp;AC15&amp;AD15&amp;AE15&amp;AF15&amp;AG15&amp;AH15&amp;AI15&amp;AJ15</f>
        <v>0100101100</v>
      </c>
      <c r="AB16" s="3"/>
      <c r="AC16" s="3"/>
      <c r="AD16" s="3"/>
      <c r="AE16" s="3"/>
      <c r="AF16" s="3"/>
      <c r="AG16" s="3"/>
      <c r="AH16" s="3"/>
      <c r="AI16" s="3"/>
      <c r="AJ16" s="25"/>
    </row>
    <row r="17" spans="4:36" ht="63" customHeight="1" thickBot="1" x14ac:dyDescent="0.3">
      <c r="D17" s="26"/>
      <c r="E17" s="32" t="str">
        <f>_xlfn.IFS(E16=0, "fixed", E16=1, "battery", E16=2, "variable", E16=3, "augmented")</f>
        <v>fixed</v>
      </c>
      <c r="F17" s="33"/>
      <c r="G17" s="6" t="str">
        <f>IF(G15="1","true","false")</f>
        <v>false</v>
      </c>
      <c r="H17" s="65" t="str">
        <f t="shared" ref="H17:N17" si="0">IF(H15="1","true","false")</f>
        <v>false</v>
      </c>
      <c r="I17" s="6" t="str">
        <f t="shared" si="0"/>
        <v>false</v>
      </c>
      <c r="J17" s="6" t="str">
        <f t="shared" si="0"/>
        <v>false</v>
      </c>
      <c r="K17" s="6" t="str">
        <f t="shared" si="0"/>
        <v>false</v>
      </c>
      <c r="L17" s="6" t="str">
        <f t="shared" si="0"/>
        <v>false</v>
      </c>
      <c r="M17" s="6" t="str">
        <f t="shared" si="0"/>
        <v>false</v>
      </c>
      <c r="N17" s="67" t="str">
        <f t="shared" si="0"/>
        <v>false</v>
      </c>
      <c r="O17" s="27">
        <f>BIN2DEC(O15&amp;P15)</f>
        <v>0</v>
      </c>
      <c r="P17" s="69"/>
      <c r="Q17" s="104">
        <f>_xlfn.DECIMAL(Q16,2)*50/1000</f>
        <v>15</v>
      </c>
      <c r="R17" s="105"/>
      <c r="S17" s="105"/>
      <c r="T17" s="105"/>
      <c r="U17" s="105"/>
      <c r="V17" s="105"/>
      <c r="W17" s="105"/>
      <c r="X17" s="105"/>
      <c r="Y17" s="105"/>
      <c r="Z17" s="106"/>
      <c r="AA17" s="107">
        <f>_xlfn.DECIMAL(AA16,2)*10/1000</f>
        <v>3</v>
      </c>
      <c r="AB17" s="108"/>
      <c r="AC17" s="108"/>
      <c r="AD17" s="108"/>
      <c r="AE17" s="108"/>
      <c r="AF17" s="108"/>
      <c r="AG17" s="108"/>
      <c r="AH17" s="108"/>
      <c r="AI17" s="108"/>
      <c r="AJ17" s="109"/>
    </row>
    <row r="20" spans="4:36" ht="15.75" thickBot="1" x14ac:dyDescent="0.3"/>
    <row r="21" spans="4:36" x14ac:dyDescent="0.25">
      <c r="D21" s="16"/>
      <c r="E21" s="17" t="s">
        <v>35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8"/>
    </row>
    <row r="22" spans="4:36" x14ac:dyDescent="0.25">
      <c r="D22" s="19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20"/>
    </row>
    <row r="23" spans="4:36" ht="63" customHeight="1" thickBot="1" x14ac:dyDescent="0.3">
      <c r="D23" s="19"/>
      <c r="E23" s="1" t="s">
        <v>1</v>
      </c>
      <c r="F23" s="1"/>
      <c r="G23" s="124" t="s">
        <v>8</v>
      </c>
      <c r="H23" s="125"/>
      <c r="I23" s="125"/>
      <c r="J23" s="125"/>
      <c r="K23" s="125"/>
      <c r="L23" s="125"/>
      <c r="M23" s="125"/>
      <c r="N23" s="125"/>
      <c r="O23" s="125"/>
      <c r="P23" s="126"/>
      <c r="Q23" s="127" t="s">
        <v>27</v>
      </c>
      <c r="R23" s="127"/>
      <c r="S23" s="127"/>
      <c r="T23" s="127"/>
      <c r="U23" s="127"/>
      <c r="V23" s="127"/>
      <c r="W23" s="127"/>
      <c r="X23" s="127"/>
      <c r="Y23" s="127"/>
      <c r="Z23" s="127"/>
      <c r="AA23" s="129" t="s">
        <v>39</v>
      </c>
      <c r="AB23" s="127"/>
      <c r="AC23" s="127"/>
      <c r="AD23" s="127"/>
      <c r="AE23" s="127"/>
      <c r="AF23" s="127"/>
      <c r="AG23" s="127"/>
      <c r="AH23" s="127"/>
      <c r="AI23" s="127"/>
      <c r="AJ23" s="128"/>
    </row>
    <row r="24" spans="4:36" ht="15.75" thickBot="1" x14ac:dyDescent="0.3">
      <c r="D24" s="22" t="s">
        <v>0</v>
      </c>
      <c r="E24" s="7">
        <v>31</v>
      </c>
      <c r="F24" s="46">
        <v>30</v>
      </c>
      <c r="G24" s="47">
        <v>29</v>
      </c>
      <c r="H24" s="48">
        <v>28</v>
      </c>
      <c r="I24" s="48">
        <v>27</v>
      </c>
      <c r="J24" s="48">
        <v>26</v>
      </c>
      <c r="K24" s="48">
        <v>25</v>
      </c>
      <c r="L24" s="48">
        <v>24</v>
      </c>
      <c r="M24" s="48">
        <v>23</v>
      </c>
      <c r="N24" s="48">
        <v>22</v>
      </c>
      <c r="O24" s="48">
        <v>21</v>
      </c>
      <c r="P24" s="45">
        <v>20</v>
      </c>
      <c r="Q24" s="47">
        <v>19</v>
      </c>
      <c r="R24" s="48">
        <v>18</v>
      </c>
      <c r="S24" s="48">
        <v>17</v>
      </c>
      <c r="T24" s="48">
        <v>16</v>
      </c>
      <c r="U24" s="48">
        <v>15</v>
      </c>
      <c r="V24" s="48">
        <v>14</v>
      </c>
      <c r="W24" s="48">
        <v>13</v>
      </c>
      <c r="X24" s="48">
        <v>12</v>
      </c>
      <c r="Y24" s="48">
        <v>11</v>
      </c>
      <c r="Z24" s="45">
        <v>10</v>
      </c>
      <c r="AA24" s="47">
        <v>9</v>
      </c>
      <c r="AB24" s="48">
        <v>8</v>
      </c>
      <c r="AC24" s="48">
        <v>7</v>
      </c>
      <c r="AD24" s="48">
        <v>6</v>
      </c>
      <c r="AE24" s="48">
        <v>5</v>
      </c>
      <c r="AF24" s="48">
        <v>4</v>
      </c>
      <c r="AG24" s="48">
        <v>3</v>
      </c>
      <c r="AH24" s="48">
        <v>2</v>
      </c>
      <c r="AI24" s="48">
        <v>1</v>
      </c>
      <c r="AJ24" s="45">
        <v>0</v>
      </c>
    </row>
    <row r="25" spans="4:36" x14ac:dyDescent="0.25">
      <c r="D25" s="22" t="s">
        <v>17</v>
      </c>
      <c r="E25" s="12" t="s">
        <v>16</v>
      </c>
      <c r="F25" s="13"/>
      <c r="G25" s="41"/>
      <c r="H25" s="41"/>
      <c r="I25" s="41"/>
      <c r="J25" s="41"/>
      <c r="K25" s="41"/>
      <c r="L25" s="42"/>
      <c r="M25" s="43" t="s">
        <v>15</v>
      </c>
      <c r="N25" s="41"/>
      <c r="O25" s="41"/>
      <c r="P25" s="41"/>
      <c r="Q25" s="41"/>
      <c r="R25" s="41"/>
      <c r="S25" s="41"/>
      <c r="T25" s="42"/>
      <c r="U25" s="43" t="s">
        <v>14</v>
      </c>
      <c r="V25" s="41"/>
      <c r="W25" s="41"/>
      <c r="X25" s="41"/>
      <c r="Y25" s="41"/>
      <c r="Z25" s="41"/>
      <c r="AA25" s="41"/>
      <c r="AB25" s="42"/>
      <c r="AC25" s="43" t="s">
        <v>13</v>
      </c>
      <c r="AD25" s="41"/>
      <c r="AE25" s="41"/>
      <c r="AF25" s="41"/>
      <c r="AG25" s="41"/>
      <c r="AH25" s="41"/>
      <c r="AI25" s="41"/>
      <c r="AJ25" s="49"/>
    </row>
    <row r="26" spans="4:36" ht="15.75" thickBot="1" x14ac:dyDescent="0.3">
      <c r="D26" s="22" t="s">
        <v>18</v>
      </c>
      <c r="E26" s="50">
        <f>E6</f>
        <v>0</v>
      </c>
      <c r="F26" s="51"/>
      <c r="G26" s="51"/>
      <c r="H26" s="51"/>
      <c r="I26" s="51"/>
      <c r="J26" s="51"/>
      <c r="K26" s="51"/>
      <c r="L26" s="56"/>
      <c r="M26" s="50">
        <f>M6</f>
        <v>4</v>
      </c>
      <c r="N26" s="51"/>
      <c r="O26" s="51"/>
      <c r="P26" s="51"/>
      <c r="Q26" s="51"/>
      <c r="R26" s="51"/>
      <c r="S26" s="51"/>
      <c r="T26" s="56"/>
      <c r="U26" s="50" t="str">
        <f>U6</f>
        <v>b1</v>
      </c>
      <c r="V26" s="51"/>
      <c r="W26" s="51"/>
      <c r="X26" s="51"/>
      <c r="Y26" s="51"/>
      <c r="Z26" s="51"/>
      <c r="AA26" s="51"/>
      <c r="AB26" s="56"/>
      <c r="AC26" s="50" t="str">
        <f>AC6</f>
        <v>2c</v>
      </c>
      <c r="AD26" s="51"/>
      <c r="AE26" s="51"/>
      <c r="AF26" s="51"/>
      <c r="AG26" s="51"/>
      <c r="AH26" s="51"/>
      <c r="AI26" s="51"/>
      <c r="AJ26" s="64"/>
    </row>
    <row r="27" spans="4:36" ht="15.75" thickBot="1" x14ac:dyDescent="0.3">
      <c r="D27" s="23" t="s">
        <v>19</v>
      </c>
      <c r="E27" s="54" t="str">
        <f>MID(HEX2BIN(E26,8),1,1)</f>
        <v>0</v>
      </c>
      <c r="F27" s="55" t="str">
        <f>MID(HEX2BIN(E26,8),2,1)</f>
        <v>0</v>
      </c>
      <c r="G27" s="74" t="str">
        <f>MID(HEX2BIN(E26,8),3,1)</f>
        <v>0</v>
      </c>
      <c r="H27" s="75" t="str">
        <f>MID(HEX2BIN(E26,8),4,1)</f>
        <v>0</v>
      </c>
      <c r="I27" s="75" t="str">
        <f>MID(HEX2BIN(E26,8),5,1)</f>
        <v>0</v>
      </c>
      <c r="J27" s="75" t="str">
        <f>MID(HEX2BIN(E26,8),6,1)</f>
        <v>0</v>
      </c>
      <c r="K27" s="75" t="str">
        <f>MID(HEX2BIN(E26,8),7,1)</f>
        <v>0</v>
      </c>
      <c r="L27" s="75" t="str">
        <f>MID(HEX2BIN(E26,8),8,1)</f>
        <v>0</v>
      </c>
      <c r="M27" s="75" t="str">
        <f>MID(HEX2BIN(M26,8),1,1)</f>
        <v>0</v>
      </c>
      <c r="N27" s="75" t="str">
        <f>MID(HEX2BIN(M26,8),2,1)</f>
        <v>0</v>
      </c>
      <c r="O27" s="75" t="str">
        <f>MID(HEX2BIN(M26,8),3,1)</f>
        <v>0</v>
      </c>
      <c r="P27" s="76" t="str">
        <f>MID(HEX2BIN(M26,8),4,1)</f>
        <v>0</v>
      </c>
      <c r="Q27" s="60" t="str">
        <f>MID(HEX2BIN(M26,8),5,1)</f>
        <v>0</v>
      </c>
      <c r="R27" s="61" t="str">
        <f>MID(HEX2BIN(M26,8),6,1)</f>
        <v>1</v>
      </c>
      <c r="S27" s="61" t="str">
        <f>MID(HEX2BIN(M26,8),7,1)</f>
        <v>0</v>
      </c>
      <c r="T27" s="61" t="str">
        <f>MID(HEX2BIN(M26,8),8,1)</f>
        <v>0</v>
      </c>
      <c r="U27" s="61" t="str">
        <f>MID(HEX2BIN(U26,8),1,1)</f>
        <v>1</v>
      </c>
      <c r="V27" s="61" t="str">
        <f>MID(HEX2BIN(U26,8),2,1)</f>
        <v>0</v>
      </c>
      <c r="W27" s="61" t="str">
        <f>MID(HEX2BIN(U26,8),3,1)</f>
        <v>1</v>
      </c>
      <c r="X27" s="61" t="str">
        <f>MID(HEX2BIN(U26,8),4,1)</f>
        <v>1</v>
      </c>
      <c r="Y27" s="61" t="str">
        <f>MID(HEX2BIN(U26,8),5,1)</f>
        <v>0</v>
      </c>
      <c r="Z27" s="62" t="str">
        <f>MID(HEX2BIN(U26,8),6,1)</f>
        <v>0</v>
      </c>
      <c r="AA27" s="60" t="str">
        <f>MID(HEX2BIN(U26,8),7,1)</f>
        <v>0</v>
      </c>
      <c r="AB27" s="61" t="str">
        <f>MID(HEX2BIN(U26,8),8,1)</f>
        <v>1</v>
      </c>
      <c r="AC27" s="61" t="str">
        <f>MID(HEX2BIN(AC26,8),1,1)</f>
        <v>0</v>
      </c>
      <c r="AD27" s="61" t="str">
        <f>MID(HEX2BIN(AC26,8),2,1)</f>
        <v>0</v>
      </c>
      <c r="AE27" s="61" t="str">
        <f>MID(HEX2BIN(AC26,8),3,1)</f>
        <v>1</v>
      </c>
      <c r="AF27" s="61" t="str">
        <f>MID(HEX2BIN(AC26,8),4,1)</f>
        <v>0</v>
      </c>
      <c r="AG27" s="61" t="str">
        <f>MID(HEX2BIN(AC26,8),5,1)</f>
        <v>1</v>
      </c>
      <c r="AH27" s="61" t="str">
        <f>MID(HEX2BIN(AC26,8),6,1)</f>
        <v>1</v>
      </c>
      <c r="AI27" s="61" t="str">
        <f>MID(HEX2BIN(AC26,8),7,1)</f>
        <v>0</v>
      </c>
      <c r="AJ27" s="62" t="str">
        <f>MID(HEX2BIN(AC26,8),8,1)</f>
        <v>0</v>
      </c>
    </row>
    <row r="28" spans="4:36" s="4" customFormat="1" ht="3" customHeight="1" x14ac:dyDescent="0.25">
      <c r="D28" s="24"/>
      <c r="E28" s="52">
        <f>BIN2DEC(E27&amp;F27)</f>
        <v>0</v>
      </c>
      <c r="F28" s="53"/>
      <c r="G28" s="34" t="str">
        <f>G27&amp;H27&amp;I27&amp;J27&amp;K27&amp;L27&amp;M27&amp;N27&amp;O27&amp;P27</f>
        <v>0000000000</v>
      </c>
      <c r="H28" s="3"/>
      <c r="I28" s="3"/>
      <c r="J28" s="3"/>
      <c r="K28" s="3"/>
      <c r="L28" s="3"/>
      <c r="M28" s="3"/>
      <c r="N28" s="3"/>
      <c r="O28" s="3"/>
      <c r="P28" s="25"/>
      <c r="Q28" s="34" t="str">
        <f>Q27&amp;R27&amp;S27&amp;T27&amp;U27&amp;V27&amp;W27&amp;X27&amp;Y27&amp;Z27</f>
        <v>0100101100</v>
      </c>
      <c r="R28" s="3"/>
      <c r="S28" s="3"/>
      <c r="T28" s="3"/>
      <c r="U28" s="3"/>
      <c r="V28" s="3"/>
      <c r="W28" s="3"/>
      <c r="X28" s="3"/>
      <c r="Y28" s="3"/>
      <c r="Z28" s="25"/>
      <c r="AA28" s="34" t="str">
        <f>AA27&amp;AB27&amp;AC27&amp;AD27&amp;AE27&amp;AF27&amp;AG27&amp;AH27&amp;AI27&amp;AJ27</f>
        <v>0100101100</v>
      </c>
      <c r="AB28" s="3"/>
      <c r="AC28" s="3"/>
      <c r="AD28" s="3"/>
      <c r="AE28" s="3"/>
      <c r="AF28" s="3"/>
      <c r="AG28" s="3"/>
      <c r="AH28" s="3"/>
      <c r="AI28" s="3"/>
      <c r="AJ28" s="25"/>
    </row>
    <row r="29" spans="4:36" ht="57.75" customHeight="1" thickBot="1" x14ac:dyDescent="0.3">
      <c r="D29" s="26"/>
      <c r="E29" s="37" t="str">
        <f>_xlfn.IFS(E28=0, "fixed", E28=1, "battery", E28=2, "variable", E28=3, "augmented")</f>
        <v>fixed</v>
      </c>
      <c r="F29" s="38"/>
      <c r="G29" s="104">
        <f>_xlfn.DECIMAL(G28,2)*50/1000</f>
        <v>0</v>
      </c>
      <c r="H29" s="105"/>
      <c r="I29" s="105"/>
      <c r="J29" s="105"/>
      <c r="K29" s="105"/>
      <c r="L29" s="105"/>
      <c r="M29" s="105"/>
      <c r="N29" s="105"/>
      <c r="O29" s="105"/>
      <c r="P29" s="106"/>
      <c r="Q29" s="104">
        <f>_xlfn.DECIMAL(Q28,2)*50/1000</f>
        <v>15</v>
      </c>
      <c r="R29" s="105"/>
      <c r="S29" s="105"/>
      <c r="T29" s="105"/>
      <c r="U29" s="105"/>
      <c r="V29" s="105"/>
      <c r="W29" s="105"/>
      <c r="X29" s="105"/>
      <c r="Y29" s="105"/>
      <c r="Z29" s="106"/>
      <c r="AA29" s="121">
        <f>_xlfn.DECIMAL(AA28,2)*250/1000</f>
        <v>75</v>
      </c>
      <c r="AB29" s="122"/>
      <c r="AC29" s="122"/>
      <c r="AD29" s="122"/>
      <c r="AE29" s="122"/>
      <c r="AF29" s="122"/>
      <c r="AG29" s="122"/>
      <c r="AH29" s="122"/>
      <c r="AI29" s="122"/>
      <c r="AJ29" s="123"/>
    </row>
    <row r="32" spans="4:36" ht="15.75" thickBot="1" x14ac:dyDescent="0.3"/>
    <row r="33" spans="4:36" x14ac:dyDescent="0.25">
      <c r="D33" s="16"/>
      <c r="E33" s="17" t="s">
        <v>36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8"/>
    </row>
    <row r="34" spans="4:36" x14ac:dyDescent="0.25">
      <c r="D34" s="19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20"/>
    </row>
    <row r="35" spans="4:36" ht="67.5" customHeight="1" thickBot="1" x14ac:dyDescent="0.3">
      <c r="D35" s="19"/>
      <c r="E35" s="1" t="s">
        <v>1</v>
      </c>
      <c r="F35" s="1"/>
      <c r="G35" s="124" t="s">
        <v>8</v>
      </c>
      <c r="H35" s="125"/>
      <c r="I35" s="125"/>
      <c r="J35" s="125"/>
      <c r="K35" s="125"/>
      <c r="L35" s="125"/>
      <c r="M35" s="125"/>
      <c r="N35" s="125"/>
      <c r="O35" s="125"/>
      <c r="P35" s="126"/>
      <c r="Q35" s="127" t="s">
        <v>27</v>
      </c>
      <c r="R35" s="127"/>
      <c r="S35" s="127"/>
      <c r="T35" s="127"/>
      <c r="U35" s="127"/>
      <c r="V35" s="127"/>
      <c r="W35" s="127"/>
      <c r="X35" s="127"/>
      <c r="Y35" s="127"/>
      <c r="Z35" s="127"/>
      <c r="AA35" s="129" t="s">
        <v>38</v>
      </c>
      <c r="AB35" s="127"/>
      <c r="AC35" s="127"/>
      <c r="AD35" s="127"/>
      <c r="AE35" s="127"/>
      <c r="AF35" s="127"/>
      <c r="AG35" s="127"/>
      <c r="AH35" s="127"/>
      <c r="AI35" s="127"/>
      <c r="AJ35" s="128"/>
    </row>
    <row r="36" spans="4:36" ht="15.75" thickBot="1" x14ac:dyDescent="0.3">
      <c r="D36" s="22" t="s">
        <v>0</v>
      </c>
      <c r="E36" s="7">
        <v>31</v>
      </c>
      <c r="F36" s="46">
        <v>30</v>
      </c>
      <c r="G36" s="47">
        <v>29</v>
      </c>
      <c r="H36" s="48">
        <v>28</v>
      </c>
      <c r="I36" s="48">
        <v>27</v>
      </c>
      <c r="J36" s="48">
        <v>26</v>
      </c>
      <c r="K36" s="48">
        <v>25</v>
      </c>
      <c r="L36" s="48">
        <v>24</v>
      </c>
      <c r="M36" s="48">
        <v>23</v>
      </c>
      <c r="N36" s="48">
        <v>22</v>
      </c>
      <c r="O36" s="48">
        <v>21</v>
      </c>
      <c r="P36" s="45">
        <v>20</v>
      </c>
      <c r="Q36" s="47">
        <v>19</v>
      </c>
      <c r="R36" s="48">
        <v>18</v>
      </c>
      <c r="S36" s="48">
        <v>17</v>
      </c>
      <c r="T36" s="48">
        <v>16</v>
      </c>
      <c r="U36" s="48">
        <v>15</v>
      </c>
      <c r="V36" s="48">
        <v>14</v>
      </c>
      <c r="W36" s="48">
        <v>13</v>
      </c>
      <c r="X36" s="48">
        <v>12</v>
      </c>
      <c r="Y36" s="48">
        <v>11</v>
      </c>
      <c r="Z36" s="45">
        <v>10</v>
      </c>
      <c r="AA36" s="47">
        <v>9</v>
      </c>
      <c r="AB36" s="48">
        <v>8</v>
      </c>
      <c r="AC36" s="48">
        <v>7</v>
      </c>
      <c r="AD36" s="48">
        <v>6</v>
      </c>
      <c r="AE36" s="48">
        <v>5</v>
      </c>
      <c r="AF36" s="48">
        <v>4</v>
      </c>
      <c r="AG36" s="48">
        <v>3</v>
      </c>
      <c r="AH36" s="48">
        <v>2</v>
      </c>
      <c r="AI36" s="48">
        <v>1</v>
      </c>
      <c r="AJ36" s="45">
        <v>0</v>
      </c>
    </row>
    <row r="37" spans="4:36" x14ac:dyDescent="0.25">
      <c r="D37" s="22" t="s">
        <v>17</v>
      </c>
      <c r="E37" s="12" t="s">
        <v>16</v>
      </c>
      <c r="F37" s="13"/>
      <c r="G37" s="41"/>
      <c r="H37" s="41"/>
      <c r="I37" s="41"/>
      <c r="J37" s="41"/>
      <c r="K37" s="41"/>
      <c r="L37" s="42"/>
      <c r="M37" s="43" t="s">
        <v>15</v>
      </c>
      <c r="N37" s="41"/>
      <c r="O37" s="41"/>
      <c r="P37" s="41"/>
      <c r="Q37" s="41"/>
      <c r="R37" s="41"/>
      <c r="S37" s="41"/>
      <c r="T37" s="42"/>
      <c r="U37" s="43" t="s">
        <v>14</v>
      </c>
      <c r="V37" s="41"/>
      <c r="W37" s="41"/>
      <c r="X37" s="41"/>
      <c r="Y37" s="41"/>
      <c r="Z37" s="41"/>
      <c r="AA37" s="41"/>
      <c r="AB37" s="42"/>
      <c r="AC37" s="43" t="s">
        <v>13</v>
      </c>
      <c r="AD37" s="41"/>
      <c r="AE37" s="41"/>
      <c r="AF37" s="41"/>
      <c r="AG37" s="41"/>
      <c r="AH37" s="41"/>
      <c r="AI37" s="41"/>
      <c r="AJ37" s="49"/>
    </row>
    <row r="38" spans="4:36" ht="15.75" thickBot="1" x14ac:dyDescent="0.3">
      <c r="D38" s="22" t="s">
        <v>18</v>
      </c>
      <c r="E38" s="50">
        <f>E6</f>
        <v>0</v>
      </c>
      <c r="F38" s="51"/>
      <c r="G38" s="51"/>
      <c r="H38" s="51"/>
      <c r="I38" s="51"/>
      <c r="J38" s="51"/>
      <c r="K38" s="51"/>
      <c r="L38" s="56"/>
      <c r="M38" s="50">
        <f>M6</f>
        <v>4</v>
      </c>
      <c r="N38" s="51"/>
      <c r="O38" s="51"/>
      <c r="P38" s="51"/>
      <c r="Q38" s="51"/>
      <c r="R38" s="51"/>
      <c r="S38" s="51"/>
      <c r="T38" s="56"/>
      <c r="U38" s="50" t="str">
        <f>U6</f>
        <v>b1</v>
      </c>
      <c r="V38" s="51"/>
      <c r="W38" s="51"/>
      <c r="X38" s="51"/>
      <c r="Y38" s="51"/>
      <c r="Z38" s="51"/>
      <c r="AA38" s="51"/>
      <c r="AB38" s="56"/>
      <c r="AC38" s="50" t="str">
        <f>AC6</f>
        <v>2c</v>
      </c>
      <c r="AD38" s="51"/>
      <c r="AE38" s="51"/>
      <c r="AF38" s="51"/>
      <c r="AG38" s="51"/>
      <c r="AH38" s="51"/>
      <c r="AI38" s="51"/>
      <c r="AJ38" s="64"/>
    </row>
    <row r="39" spans="4:36" ht="15.75" thickBot="1" x14ac:dyDescent="0.3">
      <c r="D39" s="23" t="s">
        <v>19</v>
      </c>
      <c r="E39" s="54" t="str">
        <f>MID(HEX2BIN(E38,8),1,1)</f>
        <v>0</v>
      </c>
      <c r="F39" s="55" t="str">
        <f>MID(HEX2BIN(E38,8),2,1)</f>
        <v>0</v>
      </c>
      <c r="G39" s="74" t="str">
        <f>MID(HEX2BIN(E38,8),3,1)</f>
        <v>0</v>
      </c>
      <c r="H39" s="75" t="str">
        <f>MID(HEX2BIN(E38,8),4,1)</f>
        <v>0</v>
      </c>
      <c r="I39" s="75" t="str">
        <f>MID(HEX2BIN(E38,8),5,1)</f>
        <v>0</v>
      </c>
      <c r="J39" s="75" t="str">
        <f>MID(HEX2BIN(E38,8),6,1)</f>
        <v>0</v>
      </c>
      <c r="K39" s="75" t="str">
        <f>MID(HEX2BIN(E38,8),7,1)</f>
        <v>0</v>
      </c>
      <c r="L39" s="75" t="str">
        <f>MID(HEX2BIN(E38,8),8,1)</f>
        <v>0</v>
      </c>
      <c r="M39" s="75" t="str">
        <f>MID(HEX2BIN(M38,8),1,1)</f>
        <v>0</v>
      </c>
      <c r="N39" s="75" t="str">
        <f>MID(HEX2BIN(M38,8),2,1)</f>
        <v>0</v>
      </c>
      <c r="O39" s="75" t="str">
        <f>MID(HEX2BIN(M38,8),3,1)</f>
        <v>0</v>
      </c>
      <c r="P39" s="76" t="str">
        <f>MID(HEX2BIN(M38,8),4,1)</f>
        <v>0</v>
      </c>
      <c r="Q39" s="60" t="str">
        <f>MID(HEX2BIN(M38,8),5,1)</f>
        <v>0</v>
      </c>
      <c r="R39" s="61" t="str">
        <f>MID(HEX2BIN(M38,8),6,1)</f>
        <v>1</v>
      </c>
      <c r="S39" s="61" t="str">
        <f>MID(HEX2BIN(M38,8),7,1)</f>
        <v>0</v>
      </c>
      <c r="T39" s="61" t="str">
        <f>MID(HEX2BIN(M38,8),8,1)</f>
        <v>0</v>
      </c>
      <c r="U39" s="61" t="str">
        <f>MID(HEX2BIN(U38,8),1,1)</f>
        <v>1</v>
      </c>
      <c r="V39" s="61" t="str">
        <f>MID(HEX2BIN(U38,8),2,1)</f>
        <v>0</v>
      </c>
      <c r="W39" s="61" t="str">
        <f>MID(HEX2BIN(U38,8),3,1)</f>
        <v>1</v>
      </c>
      <c r="X39" s="61" t="str">
        <f>MID(HEX2BIN(U38,8),4,1)</f>
        <v>1</v>
      </c>
      <c r="Y39" s="61" t="str">
        <f>MID(HEX2BIN(U38,8),5,1)</f>
        <v>0</v>
      </c>
      <c r="Z39" s="62" t="str">
        <f>MID(HEX2BIN(U38,8),6,1)</f>
        <v>0</v>
      </c>
      <c r="AA39" s="60" t="str">
        <f>MID(HEX2BIN(U38,8),7,1)</f>
        <v>0</v>
      </c>
      <c r="AB39" s="61" t="str">
        <f>MID(HEX2BIN(U38,8),8,1)</f>
        <v>1</v>
      </c>
      <c r="AC39" s="61" t="str">
        <f>MID(HEX2BIN(AC38,8),1,1)</f>
        <v>0</v>
      </c>
      <c r="AD39" s="61" t="str">
        <f>MID(HEX2BIN(AC38,8),2,1)</f>
        <v>0</v>
      </c>
      <c r="AE39" s="61" t="str">
        <f>MID(HEX2BIN(AC38,8),3,1)</f>
        <v>1</v>
      </c>
      <c r="AF39" s="61" t="str">
        <f>MID(HEX2BIN(AC38,8),4,1)</f>
        <v>0</v>
      </c>
      <c r="AG39" s="61" t="str">
        <f>MID(HEX2BIN(AC38,8),5,1)</f>
        <v>1</v>
      </c>
      <c r="AH39" s="61" t="str">
        <f>MID(HEX2BIN(AC38,8),6,1)</f>
        <v>1</v>
      </c>
      <c r="AI39" s="61" t="str">
        <f>MID(HEX2BIN(AC38,8),7,1)</f>
        <v>0</v>
      </c>
      <c r="AJ39" s="62" t="str">
        <f>MID(HEX2BIN(AC38,8),8,1)</f>
        <v>0</v>
      </c>
    </row>
    <row r="40" spans="4:36" s="4" customFormat="1" ht="3" customHeight="1" x14ac:dyDescent="0.25">
      <c r="D40" s="24"/>
      <c r="E40" s="52">
        <f>BIN2DEC(E39&amp;F39)</f>
        <v>0</v>
      </c>
      <c r="F40" s="53"/>
      <c r="G40" s="34" t="str">
        <f>G39&amp;H39&amp;I39&amp;J39&amp;K39&amp;L39&amp;M39&amp;N39&amp;O39&amp;P39</f>
        <v>0000000000</v>
      </c>
      <c r="H40" s="3"/>
      <c r="I40" s="3"/>
      <c r="J40" s="3"/>
      <c r="K40" s="3"/>
      <c r="L40" s="3"/>
      <c r="M40" s="3"/>
      <c r="N40" s="3"/>
      <c r="O40" s="3"/>
      <c r="P40" s="25"/>
      <c r="Q40" s="34" t="str">
        <f>Q39&amp;R39&amp;S39&amp;T39&amp;U39&amp;V39&amp;W39&amp;X39&amp;Y39&amp;Z39</f>
        <v>0100101100</v>
      </c>
      <c r="R40" s="3"/>
      <c r="S40" s="3"/>
      <c r="T40" s="3"/>
      <c r="U40" s="3"/>
      <c r="V40" s="3"/>
      <c r="W40" s="3"/>
      <c r="X40" s="3"/>
      <c r="Y40" s="3"/>
      <c r="Z40" s="25"/>
      <c r="AA40" s="34" t="str">
        <f>AA39&amp;AB39&amp;AC39&amp;AD39&amp;AE39&amp;AF39&amp;AG39&amp;AH39&amp;AI39&amp;AJ39</f>
        <v>0100101100</v>
      </c>
      <c r="AB40" s="3"/>
      <c r="AC40" s="3"/>
      <c r="AD40" s="3"/>
      <c r="AE40" s="3"/>
      <c r="AF40" s="3"/>
      <c r="AG40" s="3"/>
      <c r="AH40" s="3"/>
      <c r="AI40" s="3"/>
      <c r="AJ40" s="25"/>
    </row>
    <row r="41" spans="4:36" ht="57.75" customHeight="1" thickBot="1" x14ac:dyDescent="0.3">
      <c r="D41" s="26"/>
      <c r="E41" s="37" t="str">
        <f>_xlfn.IFS(E40=0, "fixed", E40=1, "battery", E40=2, "variable", E40=3, "augmented")</f>
        <v>fixed</v>
      </c>
      <c r="F41" s="38"/>
      <c r="G41" s="104">
        <f>_xlfn.DECIMAL(G40,2)*50/1000</f>
        <v>0</v>
      </c>
      <c r="H41" s="105"/>
      <c r="I41" s="105"/>
      <c r="J41" s="105"/>
      <c r="K41" s="105"/>
      <c r="L41" s="105"/>
      <c r="M41" s="105"/>
      <c r="N41" s="105"/>
      <c r="O41" s="105"/>
      <c r="P41" s="106"/>
      <c r="Q41" s="104">
        <f>_xlfn.DECIMAL(Q40,2)*50/1000</f>
        <v>15</v>
      </c>
      <c r="R41" s="105"/>
      <c r="S41" s="105"/>
      <c r="T41" s="105"/>
      <c r="U41" s="105"/>
      <c r="V41" s="105"/>
      <c r="W41" s="105"/>
      <c r="X41" s="105"/>
      <c r="Y41" s="105"/>
      <c r="Z41" s="106"/>
      <c r="AA41" s="107">
        <f>_xlfn.DECIMAL(AA40,2)*10/1000</f>
        <v>3</v>
      </c>
      <c r="AB41" s="108"/>
      <c r="AC41" s="108"/>
      <c r="AD41" s="108"/>
      <c r="AE41" s="108"/>
      <c r="AF41" s="108"/>
      <c r="AG41" s="108"/>
      <c r="AH41" s="108"/>
      <c r="AI41" s="108"/>
      <c r="AJ41" s="109"/>
    </row>
    <row r="44" spans="4:36" ht="15.75" thickBot="1" x14ac:dyDescent="0.3"/>
    <row r="45" spans="4:36" x14ac:dyDescent="0.25">
      <c r="D45" s="16"/>
      <c r="E45" s="17" t="s">
        <v>28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8"/>
    </row>
    <row r="46" spans="4:36" ht="15.75" thickBot="1" x14ac:dyDescent="0.3">
      <c r="D46" s="19"/>
      <c r="E46" s="15"/>
      <c r="F46" s="15"/>
      <c r="G46" s="15"/>
      <c r="H46" s="15"/>
      <c r="I46" s="15"/>
      <c r="J46" s="15"/>
      <c r="K46" s="15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2"/>
    </row>
    <row r="47" spans="4:36" ht="69.75" customHeight="1" thickBot="1" x14ac:dyDescent="0.3">
      <c r="D47" s="19"/>
      <c r="E47" s="1" t="s">
        <v>1</v>
      </c>
      <c r="F47" s="1"/>
      <c r="G47" s="35" t="s">
        <v>29</v>
      </c>
      <c r="H47" s="36"/>
      <c r="I47" s="36" t="s">
        <v>7</v>
      </c>
      <c r="J47" s="36"/>
      <c r="K47" s="36"/>
      <c r="L47" s="130" t="s">
        <v>30</v>
      </c>
      <c r="M47" s="131"/>
      <c r="N47" s="131"/>
      <c r="O47" s="131"/>
      <c r="P47" s="131"/>
      <c r="Q47" s="131"/>
      <c r="R47" s="131"/>
      <c r="S47" s="132"/>
      <c r="T47" s="89" t="s">
        <v>7</v>
      </c>
      <c r="U47" s="130" t="s">
        <v>31</v>
      </c>
      <c r="V47" s="131"/>
      <c r="W47" s="131"/>
      <c r="X47" s="131"/>
      <c r="Y47" s="131"/>
      <c r="Z47" s="131"/>
      <c r="AA47" s="131"/>
      <c r="AB47" s="132"/>
      <c r="AC47" s="91" t="s">
        <v>7</v>
      </c>
      <c r="AD47" s="133" t="s">
        <v>37</v>
      </c>
      <c r="AE47" s="131"/>
      <c r="AF47" s="131"/>
      <c r="AG47" s="131"/>
      <c r="AH47" s="131"/>
      <c r="AI47" s="131"/>
      <c r="AJ47" s="132"/>
    </row>
    <row r="48" spans="4:36" ht="15.75" thickBot="1" x14ac:dyDescent="0.3">
      <c r="D48" s="78" t="s">
        <v>0</v>
      </c>
      <c r="E48" s="47">
        <v>31</v>
      </c>
      <c r="F48" s="45">
        <v>30</v>
      </c>
      <c r="G48" s="47">
        <v>29</v>
      </c>
      <c r="H48" s="45">
        <v>28</v>
      </c>
      <c r="I48" s="47">
        <v>27</v>
      </c>
      <c r="J48" s="48">
        <v>26</v>
      </c>
      <c r="K48" s="80">
        <v>25</v>
      </c>
      <c r="L48" s="47">
        <v>24</v>
      </c>
      <c r="M48" s="44">
        <v>23</v>
      </c>
      <c r="N48" s="48">
        <v>22</v>
      </c>
      <c r="O48" s="48">
        <v>21</v>
      </c>
      <c r="P48" s="48">
        <v>20</v>
      </c>
      <c r="Q48" s="48">
        <v>19</v>
      </c>
      <c r="R48" s="48">
        <v>18</v>
      </c>
      <c r="S48" s="45">
        <v>17</v>
      </c>
      <c r="T48" s="93">
        <v>16</v>
      </c>
      <c r="U48" s="47">
        <v>15</v>
      </c>
      <c r="V48" s="48">
        <v>14</v>
      </c>
      <c r="W48" s="48">
        <v>13</v>
      </c>
      <c r="X48" s="48">
        <v>12</v>
      </c>
      <c r="Y48" s="48">
        <v>11</v>
      </c>
      <c r="Z48" s="48">
        <v>10</v>
      </c>
      <c r="AA48" s="48">
        <v>9</v>
      </c>
      <c r="AB48" s="45">
        <v>8</v>
      </c>
      <c r="AC48" s="96">
        <v>7</v>
      </c>
      <c r="AD48" s="92">
        <v>6</v>
      </c>
      <c r="AE48" s="83">
        <v>5</v>
      </c>
      <c r="AF48" s="83">
        <v>4</v>
      </c>
      <c r="AG48" s="83">
        <v>3</v>
      </c>
      <c r="AH48" s="83">
        <v>2</v>
      </c>
      <c r="AI48" s="83">
        <v>1</v>
      </c>
      <c r="AJ48" s="84">
        <v>0</v>
      </c>
    </row>
    <row r="49" spans="4:36" x14ac:dyDescent="0.25">
      <c r="D49" s="22" t="s">
        <v>17</v>
      </c>
      <c r="E49" s="43" t="s">
        <v>16</v>
      </c>
      <c r="F49" s="41"/>
      <c r="G49" s="41"/>
      <c r="H49" s="41"/>
      <c r="I49" s="41"/>
      <c r="J49" s="41"/>
      <c r="K49" s="41"/>
      <c r="L49" s="42"/>
      <c r="M49" s="43" t="s">
        <v>15</v>
      </c>
      <c r="N49" s="41"/>
      <c r="O49" s="41"/>
      <c r="P49" s="41"/>
      <c r="Q49" s="41"/>
      <c r="R49" s="41"/>
      <c r="S49" s="41"/>
      <c r="T49" s="42"/>
      <c r="U49" s="43" t="s">
        <v>14</v>
      </c>
      <c r="V49" s="41"/>
      <c r="W49" s="41"/>
      <c r="X49" s="41"/>
      <c r="Y49" s="41"/>
      <c r="Z49" s="41"/>
      <c r="AA49" s="41"/>
      <c r="AB49" s="42"/>
      <c r="AC49" s="43" t="s">
        <v>13</v>
      </c>
      <c r="AD49" s="41"/>
      <c r="AE49" s="41"/>
      <c r="AF49" s="41"/>
      <c r="AG49" s="41"/>
      <c r="AH49" s="41"/>
      <c r="AI49" s="41"/>
      <c r="AJ49" s="49"/>
    </row>
    <row r="50" spans="4:36" ht="15.75" thickBot="1" x14ac:dyDescent="0.3">
      <c r="D50" s="22" t="s">
        <v>18</v>
      </c>
      <c r="E50" s="50">
        <f>E6</f>
        <v>0</v>
      </c>
      <c r="F50" s="51"/>
      <c r="G50" s="51"/>
      <c r="H50" s="51"/>
      <c r="I50" s="51"/>
      <c r="J50" s="51"/>
      <c r="K50" s="51"/>
      <c r="L50" s="56"/>
      <c r="M50" s="50">
        <f>M6</f>
        <v>4</v>
      </c>
      <c r="N50" s="51"/>
      <c r="O50" s="51"/>
      <c r="P50" s="51"/>
      <c r="Q50" s="51"/>
      <c r="R50" s="51"/>
      <c r="S50" s="51"/>
      <c r="T50" s="56"/>
      <c r="U50" s="50" t="str">
        <f>U6</f>
        <v>b1</v>
      </c>
      <c r="V50" s="51"/>
      <c r="W50" s="51"/>
      <c r="X50" s="51"/>
      <c r="Y50" s="51"/>
      <c r="Z50" s="51"/>
      <c r="AA50" s="51"/>
      <c r="AB50" s="56"/>
      <c r="AC50" s="50" t="str">
        <f>AC6</f>
        <v>2c</v>
      </c>
      <c r="AD50" s="51"/>
      <c r="AE50" s="51"/>
      <c r="AF50" s="51"/>
      <c r="AG50" s="51"/>
      <c r="AH50" s="51"/>
      <c r="AI50" s="51"/>
      <c r="AJ50" s="64"/>
    </row>
    <row r="51" spans="4:36" ht="15.75" thickBot="1" x14ac:dyDescent="0.3">
      <c r="D51" s="77" t="s">
        <v>19</v>
      </c>
      <c r="E51" s="60" t="str">
        <f>MID(HEX2BIN(E50,8),1,1)</f>
        <v>0</v>
      </c>
      <c r="F51" s="62" t="str">
        <f>MID(HEX2BIN(E50,8),2,1)</f>
        <v>0</v>
      </c>
      <c r="G51" s="60" t="str">
        <f>MID(HEX2BIN(E50,8),3,1)</f>
        <v>0</v>
      </c>
      <c r="H51" s="62" t="str">
        <f>MID(HEX2BIN(E50,8),4,1)</f>
        <v>0</v>
      </c>
      <c r="I51" s="54" t="str">
        <f>MID(HEX2BIN(E50,8),5,1)</f>
        <v>0</v>
      </c>
      <c r="J51" s="59" t="str">
        <f>MID(HEX2BIN(E50,8),6,1)</f>
        <v>0</v>
      </c>
      <c r="K51" s="55" t="str">
        <f>MID(HEX2BIN(E50,8),7,1)</f>
        <v>0</v>
      </c>
      <c r="L51" s="54" t="str">
        <f>MID(HEX2BIN(E50,8),8,1)</f>
        <v>0</v>
      </c>
      <c r="M51" s="85" t="str">
        <f>MID(HEX2BIN(M50,8),1,1)</f>
        <v>0</v>
      </c>
      <c r="N51" s="59" t="str">
        <f>MID(HEX2BIN(M50,8),2,1)</f>
        <v>0</v>
      </c>
      <c r="O51" s="59" t="str">
        <f>MID(HEX2BIN(M50,8),3,1)</f>
        <v>0</v>
      </c>
      <c r="P51" s="59" t="str">
        <f>MID(HEX2BIN(M50,8),4,1)</f>
        <v>0</v>
      </c>
      <c r="Q51" s="59" t="str">
        <f>MID(HEX2BIN(M50,8),5,1)</f>
        <v>0</v>
      </c>
      <c r="R51" s="59" t="str">
        <f>MID(HEX2BIN(M50,8),6,1)</f>
        <v>1</v>
      </c>
      <c r="S51" s="55" t="str">
        <f>MID(HEX2BIN(M50,8),7,1)</f>
        <v>0</v>
      </c>
      <c r="T51" s="95" t="str">
        <f>MID(HEX2BIN(M50,8),8,1)</f>
        <v>0</v>
      </c>
      <c r="U51" s="54" t="str">
        <f>MID(HEX2BIN(U50,8),1,1)</f>
        <v>1</v>
      </c>
      <c r="V51" s="59" t="str">
        <f>MID(HEX2BIN(U50,8),2,1)</f>
        <v>0</v>
      </c>
      <c r="W51" s="59" t="str">
        <f>MID(HEX2BIN(U50,8),3,1)</f>
        <v>1</v>
      </c>
      <c r="X51" s="59" t="str">
        <f>MID(HEX2BIN(U50,8),4,1)</f>
        <v>1</v>
      </c>
      <c r="Y51" s="59" t="str">
        <f>MID(HEX2BIN(U50,8),5,1)</f>
        <v>0</v>
      </c>
      <c r="Z51" s="59" t="str">
        <f>MID(HEX2BIN(U50,8),6,1)</f>
        <v>0</v>
      </c>
      <c r="AA51" s="59" t="str">
        <f>MID(HEX2BIN(U50,8),7,1)</f>
        <v>0</v>
      </c>
      <c r="AB51" s="55" t="str">
        <f>MID(HEX2BIN(U50,8),8,1)</f>
        <v>1</v>
      </c>
      <c r="AC51" s="71" t="str">
        <f>MID(HEX2BIN(AC50,8),1,1)</f>
        <v>0</v>
      </c>
      <c r="AD51" s="85" t="str">
        <f>MID(HEX2BIN(AC50,8),2,1)</f>
        <v>0</v>
      </c>
      <c r="AE51" s="59" t="str">
        <f>MID(HEX2BIN(AC50,8),3,1)</f>
        <v>1</v>
      </c>
      <c r="AF51" s="59" t="str">
        <f>MID(HEX2BIN(AC50,8),4,1)</f>
        <v>0</v>
      </c>
      <c r="AG51" s="59" t="str">
        <f>MID(HEX2BIN(AC50,8),5,1)</f>
        <v>1</v>
      </c>
      <c r="AH51" s="59" t="str">
        <f>MID(HEX2BIN(AC50,8),6,1)</f>
        <v>1</v>
      </c>
      <c r="AI51" s="59" t="str">
        <f>MID(HEX2BIN(AC50,8),7,1)</f>
        <v>0</v>
      </c>
      <c r="AJ51" s="55" t="str">
        <f>MID(HEX2BIN(AC50,8),8,1)</f>
        <v>0</v>
      </c>
    </row>
    <row r="52" spans="4:36" s="4" customFormat="1" ht="2.25" customHeight="1" x14ac:dyDescent="0.25">
      <c r="D52" s="24"/>
      <c r="E52" s="10">
        <f>BIN2DEC(E51&amp;F51)</f>
        <v>0</v>
      </c>
      <c r="F52" s="11"/>
      <c r="G52" s="34">
        <f>BIN2DEC(G51&amp;H51)</f>
        <v>0</v>
      </c>
      <c r="H52" s="25"/>
      <c r="I52" s="97"/>
      <c r="J52" s="98"/>
      <c r="K52" s="99"/>
      <c r="L52" s="57" t="str">
        <f>L51&amp;M51&amp;N51&amp;O51&amp;P51&amp;Q51&amp;R51&amp;S51</f>
        <v>00000010</v>
      </c>
      <c r="M52" s="58"/>
      <c r="N52" s="58"/>
      <c r="O52" s="58"/>
      <c r="P52" s="58"/>
      <c r="Q52" s="58"/>
      <c r="R52" s="58"/>
      <c r="S52" s="63"/>
      <c r="T52" s="90"/>
      <c r="U52" s="101" t="str">
        <f>U51&amp;V51&amp;W51&amp;X51&amp;Y51&amp;Z51&amp;AA51&amp;AB51</f>
        <v>10110001</v>
      </c>
      <c r="V52" s="102"/>
      <c r="W52" s="102"/>
      <c r="X52" s="102"/>
      <c r="Y52" s="102"/>
      <c r="Z52" s="102"/>
      <c r="AA52" s="102"/>
      <c r="AB52" s="103"/>
      <c r="AC52" s="94"/>
      <c r="AD52" s="86" t="str">
        <f>AD51&amp;AE51&amp;AF51&amp;AG51&amp;AH51&amp;AI51&amp;AJ51</f>
        <v>0101100</v>
      </c>
      <c r="AE52" s="87"/>
      <c r="AF52" s="87"/>
      <c r="AG52" s="87"/>
      <c r="AH52" s="87"/>
      <c r="AI52" s="87"/>
      <c r="AJ52" s="88"/>
    </row>
    <row r="53" spans="4:36" ht="57.75" customHeight="1" thickBot="1" x14ac:dyDescent="0.3">
      <c r="D53" s="26"/>
      <c r="E53" s="37" t="str">
        <f>_xlfn.IFS(E52=0, "fixed", E52=1, "battery", E52=2, "variable", E52=3, "augmented")</f>
        <v>fixed</v>
      </c>
      <c r="F53" s="38"/>
      <c r="G53" s="110" t="str">
        <f>IF(G52=0, "PPS", "unknown")</f>
        <v>PPS</v>
      </c>
      <c r="H53" s="111"/>
      <c r="I53" s="39" t="s">
        <v>7</v>
      </c>
      <c r="J53" s="40"/>
      <c r="K53" s="79"/>
      <c r="L53" s="104">
        <f>_xlfn.DECIMAL(L52,2)*100/1000</f>
        <v>0.2</v>
      </c>
      <c r="M53" s="105"/>
      <c r="N53" s="105"/>
      <c r="O53" s="105"/>
      <c r="P53" s="105"/>
      <c r="Q53" s="105"/>
      <c r="R53" s="105"/>
      <c r="S53" s="106"/>
      <c r="T53" s="67" t="s">
        <v>7</v>
      </c>
      <c r="U53" s="104">
        <f>_xlfn.DECIMAL(U52,2)*100/1000</f>
        <v>17.7</v>
      </c>
      <c r="V53" s="105"/>
      <c r="W53" s="105"/>
      <c r="X53" s="105"/>
      <c r="Y53" s="105"/>
      <c r="Z53" s="105"/>
      <c r="AA53" s="105"/>
      <c r="AB53" s="106"/>
      <c r="AC53" s="100" t="s">
        <v>7</v>
      </c>
      <c r="AD53" s="107">
        <f>_xlfn.DECIMAL(AD52,2)*50/1000</f>
        <v>2.2000000000000002</v>
      </c>
      <c r="AE53" s="108"/>
      <c r="AF53" s="108"/>
      <c r="AG53" s="108"/>
      <c r="AH53" s="108"/>
      <c r="AI53" s="108"/>
      <c r="AJ53" s="109"/>
    </row>
  </sheetData>
  <mergeCells count="97">
    <mergeCell ref="E41:F41"/>
    <mergeCell ref="G41:P41"/>
    <mergeCell ref="Q41:Z41"/>
    <mergeCell ref="AA41:AJ41"/>
    <mergeCell ref="E38:L38"/>
    <mergeCell ref="M38:T38"/>
    <mergeCell ref="U38:AB38"/>
    <mergeCell ref="AC38:AJ38"/>
    <mergeCell ref="E40:F40"/>
    <mergeCell ref="G40:P40"/>
    <mergeCell ref="Q40:Z40"/>
    <mergeCell ref="AA40:AJ40"/>
    <mergeCell ref="E33:AJ34"/>
    <mergeCell ref="E35:F35"/>
    <mergeCell ref="G35:P35"/>
    <mergeCell ref="Q35:Z35"/>
    <mergeCell ref="AA35:AJ35"/>
    <mergeCell ref="E37:L37"/>
    <mergeCell ref="M37:T37"/>
    <mergeCell ref="U37:AB37"/>
    <mergeCell ref="AC37:AJ37"/>
    <mergeCell ref="U52:AB52"/>
    <mergeCell ref="I53:K53"/>
    <mergeCell ref="U53:AB53"/>
    <mergeCell ref="AD52:AJ52"/>
    <mergeCell ref="AD53:AJ53"/>
    <mergeCell ref="L47:S47"/>
    <mergeCell ref="U47:AB47"/>
    <mergeCell ref="AD47:AJ47"/>
    <mergeCell ref="L53:S53"/>
    <mergeCell ref="E53:F53"/>
    <mergeCell ref="G47:H47"/>
    <mergeCell ref="G52:H52"/>
    <mergeCell ref="G53:H53"/>
    <mergeCell ref="I47:K47"/>
    <mergeCell ref="E50:L50"/>
    <mergeCell ref="M50:T50"/>
    <mergeCell ref="U50:AB50"/>
    <mergeCell ref="AC50:AJ50"/>
    <mergeCell ref="E52:F52"/>
    <mergeCell ref="L52:S52"/>
    <mergeCell ref="E45:AJ46"/>
    <mergeCell ref="E47:F47"/>
    <mergeCell ref="E49:L49"/>
    <mergeCell ref="M49:T49"/>
    <mergeCell ref="U49:AB49"/>
    <mergeCell ref="AC49:AJ49"/>
    <mergeCell ref="E5:L5"/>
    <mergeCell ref="E6:L6"/>
    <mergeCell ref="M5:T5"/>
    <mergeCell ref="U5:AB5"/>
    <mergeCell ref="AC5:AJ5"/>
    <mergeCell ref="M6:T6"/>
    <mergeCell ref="U6:AB6"/>
    <mergeCell ref="AC6:AJ6"/>
    <mergeCell ref="A6:D6"/>
    <mergeCell ref="E28:F28"/>
    <mergeCell ref="Q28:Z28"/>
    <mergeCell ref="AA28:AJ28"/>
    <mergeCell ref="E29:F29"/>
    <mergeCell ref="Q29:Z29"/>
    <mergeCell ref="AA29:AJ29"/>
    <mergeCell ref="G28:P28"/>
    <mergeCell ref="G29:P29"/>
    <mergeCell ref="E25:L25"/>
    <mergeCell ref="M25:T25"/>
    <mergeCell ref="U25:AB25"/>
    <mergeCell ref="AC25:AJ25"/>
    <mergeCell ref="E26:L26"/>
    <mergeCell ref="M26:T26"/>
    <mergeCell ref="U26:AB26"/>
    <mergeCell ref="AC26:AJ26"/>
    <mergeCell ref="O17:P17"/>
    <mergeCell ref="E9:AJ10"/>
    <mergeCell ref="E21:AJ22"/>
    <mergeCell ref="E23:F23"/>
    <mergeCell ref="Q23:Z23"/>
    <mergeCell ref="AA23:AJ23"/>
    <mergeCell ref="G23:P23"/>
    <mergeCell ref="AC13:AJ13"/>
    <mergeCell ref="U13:AB13"/>
    <mergeCell ref="M13:T13"/>
    <mergeCell ref="E13:L13"/>
    <mergeCell ref="E14:L14"/>
    <mergeCell ref="M14:T14"/>
    <mergeCell ref="U14:AB14"/>
    <mergeCell ref="AC14:AJ14"/>
    <mergeCell ref="E11:F11"/>
    <mergeCell ref="O11:P11"/>
    <mergeCell ref="Q11:Z11"/>
    <mergeCell ref="AA11:AJ11"/>
    <mergeCell ref="E17:F17"/>
    <mergeCell ref="E16:F16"/>
    <mergeCell ref="Q16:Z16"/>
    <mergeCell ref="Q17:Z17"/>
    <mergeCell ref="AA16:AJ16"/>
    <mergeCell ref="AA17:AJ17"/>
  </mergeCells>
  <conditionalFormatting sqref="G17:N17">
    <cfRule type="cellIs" dxfId="26" priority="17" operator="equal">
      <formula>"true"</formula>
    </cfRule>
    <cfRule type="containsText" dxfId="25" priority="18" operator="containsText" text="false">
      <formula>NOT(ISERROR(SEARCH("false",G17)))</formula>
    </cfRule>
  </conditionalFormatting>
  <conditionalFormatting sqref="G29">
    <cfRule type="cellIs" dxfId="24" priority="15" operator="equal">
      <formula>"true"</formula>
    </cfRule>
    <cfRule type="containsText" dxfId="23" priority="16" operator="containsText" text="false">
      <formula>NOT(ISERROR(SEARCH("false",G29)))</formula>
    </cfRule>
  </conditionalFormatting>
  <conditionalFormatting sqref="G53">
    <cfRule type="cellIs" dxfId="22" priority="11" operator="equal">
      <formula>"true"</formula>
    </cfRule>
    <cfRule type="containsText" dxfId="21" priority="12" operator="containsText" text="false">
      <formula>NOT(ISERROR(SEARCH("false",G53)))</formula>
    </cfRule>
  </conditionalFormatting>
  <conditionalFormatting sqref="E53:F53">
    <cfRule type="cellIs" dxfId="20" priority="9" operator="equal">
      <formula>"augmented"</formula>
    </cfRule>
    <cfRule type="cellIs" dxfId="19" priority="10" operator="equal">
      <formula>"fixed"</formula>
    </cfRule>
  </conditionalFormatting>
  <conditionalFormatting sqref="E17:F17">
    <cfRule type="cellIs" dxfId="18" priority="8" operator="equal">
      <formula>"fixed"</formula>
    </cfRule>
  </conditionalFormatting>
  <conditionalFormatting sqref="G41">
    <cfRule type="cellIs" dxfId="17" priority="4" operator="equal">
      <formula>"true"</formula>
    </cfRule>
    <cfRule type="containsText" dxfId="16" priority="5" operator="containsText" text="false">
      <formula>NOT(ISERROR(SEARCH("false",G41)))</formula>
    </cfRule>
  </conditionalFormatting>
  <conditionalFormatting sqref="E41:F41">
    <cfRule type="cellIs" dxfId="15" priority="3" operator="equal">
      <formula>"variable"</formula>
    </cfRule>
  </conditionalFormatting>
  <conditionalFormatting sqref="E29:F29">
    <cfRule type="cellIs" dxfId="14" priority="1" operator="equal">
      <formula>"battery"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2026-01-01T15:00:44Z</dcterms:created>
  <dcterms:modified xsi:type="dcterms:W3CDTF">2026-01-01T20:18:01Z</dcterms:modified>
</cp:coreProperties>
</file>